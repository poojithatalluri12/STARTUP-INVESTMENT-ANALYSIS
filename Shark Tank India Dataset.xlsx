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ji\Downloads\"/>
    </mc:Choice>
  </mc:AlternateContent>
  <xr:revisionPtr revIDLastSave="0" documentId="8_{1B15E116-A24F-4C7D-B207-CE6BCD769BBE}" xr6:coauthVersionLast="47" xr6:coauthVersionMax="47" xr10:uidLastSave="{00000000-0000-0000-0000-000000000000}"/>
  <bookViews>
    <workbookView xWindow="-108" yWindow="-108" windowWidth="23256" windowHeight="12456" xr2:uid="{EA152C10-E9CF-4F96-8D5F-AE1745E0A279}"/>
  </bookViews>
  <sheets>
    <sheet name="Shark Tank India Dataset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2" i="1"/>
</calcChain>
</file>

<file path=xl/sharedStrings.xml><?xml version="1.0" encoding="utf-8"?>
<sst xmlns="http://schemas.openxmlformats.org/spreadsheetml/2006/main" count="263" uniqueCount="263">
  <si>
    <t>episode_number</t>
  </si>
  <si>
    <t>pitch_number</t>
  </si>
  <si>
    <t>idea</t>
  </si>
  <si>
    <t>ask_equity</t>
  </si>
  <si>
    <t>ask_valuation</t>
  </si>
  <si>
    <t>deal_valuation</t>
  </si>
  <si>
    <t>ashneer_present</t>
  </si>
  <si>
    <t>anupam_present</t>
  </si>
  <si>
    <t>aman_present</t>
  </si>
  <si>
    <t>namita_present</t>
  </si>
  <si>
    <t>vineeta_present</t>
  </si>
  <si>
    <t>peyush_present</t>
  </si>
  <si>
    <t>ghazal_present</t>
  </si>
  <si>
    <t>ashneer_deal</t>
  </si>
  <si>
    <t>anupam_deal</t>
  </si>
  <si>
    <t>aman_deal</t>
  </si>
  <si>
    <t>namita_deal</t>
  </si>
  <si>
    <t>vineeta_deal</t>
  </si>
  <si>
    <t>peyush_deal</t>
  </si>
  <si>
    <t>ghazal_deal</t>
  </si>
  <si>
    <t>total_sharks_invested</t>
  </si>
  <si>
    <t>amount_per_shark</t>
  </si>
  <si>
    <t>equity_per_shark</t>
  </si>
  <si>
    <t>BluePine Industries</t>
  </si>
  <si>
    <t>Frozen Momos</t>
  </si>
  <si>
    <t>Booz scooters</t>
  </si>
  <si>
    <t>Renting e-bike for mobility in private spaces</t>
  </si>
  <si>
    <t>Heart up my Sleeves</t>
  </si>
  <si>
    <t>Detachable Sleeves</t>
  </si>
  <si>
    <t>Tagz Foods</t>
  </si>
  <si>
    <t>Healthy Potato Chips</t>
  </si>
  <si>
    <t>Head and Heart</t>
  </si>
  <si>
    <t>Brain Development Course</t>
  </si>
  <si>
    <t>Agro tourism</t>
  </si>
  <si>
    <t>Tourism</t>
  </si>
  <si>
    <t>Qzense Labs</t>
  </si>
  <si>
    <t>Food Freshness Detector</t>
  </si>
  <si>
    <t>Peeschute</t>
  </si>
  <si>
    <t>Disposable Urine Bag</t>
  </si>
  <si>
    <t>NOCD</t>
  </si>
  <si>
    <t>Energy Drink</t>
  </si>
  <si>
    <t>Cosiq</t>
  </si>
  <si>
    <t>Intelligent Skincare</t>
  </si>
  <si>
    <t>JhaJi Achaar</t>
  </si>
  <si>
    <t>Pickle</t>
  </si>
  <si>
    <t>Bummer</t>
  </si>
  <si>
    <t>Underwear</t>
  </si>
  <si>
    <t>Revamp Moto</t>
  </si>
  <si>
    <t>E-Bike</t>
  </si>
  <si>
    <t>Hungry Heads</t>
  </si>
  <si>
    <t>Restaurant serving 80 types of Maggi</t>
  </si>
  <si>
    <t>Shrawani Engineers</t>
  </si>
  <si>
    <t>Belly Button Shaper</t>
  </si>
  <si>
    <t>Skippi Pops</t>
  </si>
  <si>
    <t>Ice-Pops</t>
  </si>
  <si>
    <t>Menstrupedia</t>
  </si>
  <si>
    <t>Menstrual Awareness Comic</t>
  </si>
  <si>
    <t>Hecolll</t>
  </si>
  <si>
    <t>Pollution Resistant Fabric</t>
  </si>
  <si>
    <t>Raising Superstars</t>
  </si>
  <si>
    <t>Child Development App</t>
  </si>
  <si>
    <t>Torch-it</t>
  </si>
  <si>
    <t>Gadgets for visually impaired people</t>
  </si>
  <si>
    <t>La Kheer Deli</t>
  </si>
  <si>
    <t>Kheer in variety of flavors</t>
  </si>
  <si>
    <t>Beyond Snack</t>
  </si>
  <si>
    <t>Kerala Banana Chips</t>
  </si>
  <si>
    <t>Vivalyf Innovations- Easy Life</t>
  </si>
  <si>
    <t>Prickless Diabetes Testing Machine</t>
  </si>
  <si>
    <t>Motion Breeze</t>
  </si>
  <si>
    <t>Smart Electric Motorcycle</t>
  </si>
  <si>
    <t>Altor</t>
  </si>
  <si>
    <t>Smart Helmets</t>
  </si>
  <si>
    <t>Ariro</t>
  </si>
  <si>
    <t>Wooden Toys</t>
  </si>
  <si>
    <t>Kabira Handmade</t>
  </si>
  <si>
    <t>Healthy Oils</t>
  </si>
  <si>
    <t>Nuutjob</t>
  </si>
  <si>
    <t>Male Intimate Hygiene</t>
  </si>
  <si>
    <t>Meatyour</t>
  </si>
  <si>
    <t>Eggs</t>
  </si>
  <si>
    <t>EventBeep</t>
  </si>
  <si>
    <t>Student Community App</t>
  </si>
  <si>
    <t>Gopal's 56</t>
  </si>
  <si>
    <t>Fiber Ice Cream</t>
  </si>
  <si>
    <t>ARRCOAT Surface Textures</t>
  </si>
  <si>
    <t>Wall Building</t>
  </si>
  <si>
    <t>Farda</t>
  </si>
  <si>
    <t>Customised Streetwear</t>
  </si>
  <si>
    <t>Auli Lifestyle</t>
  </si>
  <si>
    <t>Ayurvedic Products</t>
  </si>
  <si>
    <t>SweeDesi</t>
  </si>
  <si>
    <t>Indian Sweets</t>
  </si>
  <si>
    <t>LOKA</t>
  </si>
  <si>
    <t>Metaverse App</t>
  </si>
  <si>
    <t>Annie</t>
  </si>
  <si>
    <t>Braille Literary Device</t>
  </si>
  <si>
    <t>Caragreen</t>
  </si>
  <si>
    <t>Eco-Friendly boxes</t>
  </si>
  <si>
    <t>The Yarn Bazaar</t>
  </si>
  <si>
    <t>Yarn-Trading App</t>
  </si>
  <si>
    <t>The Renal Project</t>
  </si>
  <si>
    <t>Home Dialysis Treatment</t>
  </si>
  <si>
    <t>Morikko Pure Foods</t>
  </si>
  <si>
    <t>Healthy Food Snacks</t>
  </si>
  <si>
    <t>Good Good Piggy Bank</t>
  </si>
  <si>
    <t>Digital Piggy Bank</t>
  </si>
  <si>
    <t>Hammer Lifestyle</t>
  </si>
  <si>
    <t>Smart Audio Products</t>
  </si>
  <si>
    <t>PNT</t>
  </si>
  <si>
    <t>Robotics and Automation Solutions</t>
  </si>
  <si>
    <t>Cocofit</t>
  </si>
  <si>
    <t>Coconut based beverage franchise</t>
  </si>
  <si>
    <t>Bamboo India</t>
  </si>
  <si>
    <t>Bamboo Products</t>
  </si>
  <si>
    <t>Flying Furr</t>
  </si>
  <si>
    <t>Dog Hygiene</t>
  </si>
  <si>
    <t>Beyond Water</t>
  </si>
  <si>
    <t>Liquid Water Enhancer</t>
  </si>
  <si>
    <t>Let's Try</t>
  </si>
  <si>
    <t>Healthy Snacks</t>
  </si>
  <si>
    <t>Find Your Kicks India</t>
  </si>
  <si>
    <t>Sneaker Resale</t>
  </si>
  <si>
    <t>Aas Vidyalaya</t>
  </si>
  <si>
    <t>EdTech App</t>
  </si>
  <si>
    <t>Outbox</t>
  </si>
  <si>
    <t>Premium Surprise-Planning</t>
  </si>
  <si>
    <t>RoadBounce</t>
  </si>
  <si>
    <t>Pothole Detection Software and Data</t>
  </si>
  <si>
    <t>Mommy's Kitchen</t>
  </si>
  <si>
    <t>Thin Crust Pizza</t>
  </si>
  <si>
    <t>India Hemp and Co</t>
  </si>
  <si>
    <t>Hemp Food Products</t>
  </si>
  <si>
    <t>Otua</t>
  </si>
  <si>
    <t>Electric Auto Vehicle</t>
  </si>
  <si>
    <t>Anthyesti</t>
  </si>
  <si>
    <t>Funeral Service</t>
  </si>
  <si>
    <t>Ethik</t>
  </si>
  <si>
    <t>Leather-free Shoes</t>
  </si>
  <si>
    <t>WeSTOCK</t>
  </si>
  <si>
    <t>Livestock health monitoring AI</t>
  </si>
  <si>
    <t>KetoIndia</t>
  </si>
  <si>
    <t>Customised Keto Diets for various medical issues</t>
  </si>
  <si>
    <t>Magic lock</t>
  </si>
  <si>
    <t>LPG Cylinder lock</t>
  </si>
  <si>
    <t>The State Plate</t>
  </si>
  <si>
    <t>Delicacies</t>
  </si>
  <si>
    <t>Bakarmax</t>
  </si>
  <si>
    <t>Comics &amp; Animation</t>
  </si>
  <si>
    <t>IN A CAN</t>
  </si>
  <si>
    <t>Can Cocktails</t>
  </si>
  <si>
    <t>Get a Whey</t>
  </si>
  <si>
    <t>Sugar-Free Icecream</t>
  </si>
  <si>
    <t>Sid07 Designs</t>
  </si>
  <si>
    <t>Inventions</t>
  </si>
  <si>
    <t>The Quirky Nari</t>
  </si>
  <si>
    <t>Customised Apparels</t>
  </si>
  <si>
    <t>Hair Originals</t>
  </si>
  <si>
    <t>Natural Hair Extensions</t>
  </si>
  <si>
    <t>Poo de Cologne</t>
  </si>
  <si>
    <t>Toilet Spray with Essential Oils</t>
  </si>
  <si>
    <t>Moonshine Meads</t>
  </si>
  <si>
    <t>Meads</t>
  </si>
  <si>
    <t>Falhari</t>
  </si>
  <si>
    <t>Fresh Fruits</t>
  </si>
  <si>
    <t>Namhya Foods</t>
  </si>
  <si>
    <t>Ayurvedic Enriched Food</t>
  </si>
  <si>
    <t>Urban Monkey</t>
  </si>
  <si>
    <t>Streetwear</t>
  </si>
  <si>
    <t>Guardian Gears</t>
  </si>
  <si>
    <t>Motorcycle Luggage</t>
  </si>
  <si>
    <t>Modern Myth</t>
  </si>
  <si>
    <t>Bags</t>
  </si>
  <si>
    <t>The Sass Bar</t>
  </si>
  <si>
    <t>Gifts</t>
  </si>
  <si>
    <t>KG Agrotech</t>
  </si>
  <si>
    <t>Agricultural Innovations</t>
  </si>
  <si>
    <t>Nuskha Kitchen</t>
  </si>
  <si>
    <t>Homemade Foods</t>
  </si>
  <si>
    <t>PawsIndia</t>
  </si>
  <si>
    <t>Dog Products</t>
  </si>
  <si>
    <t>Sunfox Technologies</t>
  </si>
  <si>
    <t>Portable ECG Device</t>
  </si>
  <si>
    <t>Alpino</t>
  </si>
  <si>
    <t>Roasted Peanut Products</t>
  </si>
  <si>
    <t>Isak Fragrances</t>
  </si>
  <si>
    <t>Perfumes</t>
  </si>
  <si>
    <t>Julaa Automation</t>
  </si>
  <si>
    <t>Automatic Cradle</t>
  </si>
  <si>
    <t>Rare Planet</t>
  </si>
  <si>
    <t>Handicrafts</t>
  </si>
  <si>
    <t>Theka Coffee</t>
  </si>
  <si>
    <t>Coffee Products</t>
  </si>
  <si>
    <t>Watt Technovations</t>
  </si>
  <si>
    <t>Ventilated PPE Kits</t>
  </si>
  <si>
    <t>Aliste Technologies</t>
  </si>
  <si>
    <t>Automation Solutions</t>
  </si>
  <si>
    <t>Insurance Samadhan</t>
  </si>
  <si>
    <t>Insurance Solutions</t>
  </si>
  <si>
    <t>Humpy A2</t>
  </si>
  <si>
    <t>Organic Milk Products</t>
  </si>
  <si>
    <t>Kunafa World</t>
  </si>
  <si>
    <t>Kunafa</t>
  </si>
  <si>
    <t>Gold Safe Solutions Ind.</t>
  </si>
  <si>
    <t>Anti-Suicidal Fan Rod</t>
  </si>
  <si>
    <t>Wakao Foods</t>
  </si>
  <si>
    <t>Jackfruit Products</t>
  </si>
  <si>
    <t>PDD Falcon</t>
  </si>
  <si>
    <t>Stainless Steel Items</t>
  </si>
  <si>
    <t>PlayBox TV</t>
  </si>
  <si>
    <t>Streaming Platform</t>
  </si>
  <si>
    <t>Sippline Drinking Shields</t>
  </si>
  <si>
    <t>Portable Glass Attachment</t>
  </si>
  <si>
    <t>Kabaddi Adda</t>
  </si>
  <si>
    <t>All-Kabaddi App</t>
  </si>
  <si>
    <t>Shades of Spring</t>
  </si>
  <si>
    <t>Flowers</t>
  </si>
  <si>
    <t>Scholify</t>
  </si>
  <si>
    <t>Scholarship Platform</t>
  </si>
  <si>
    <t>Scrapshala</t>
  </si>
  <si>
    <t>Handmade Reusable Scrap Materials</t>
  </si>
  <si>
    <t>Sabjikothi</t>
  </si>
  <si>
    <t>Vegetables Storage</t>
  </si>
  <si>
    <t>AyuRythm</t>
  </si>
  <si>
    <t>Ayurvedic Wellness App</t>
  </si>
  <si>
    <t>Astrix</t>
  </si>
  <si>
    <t>Smart Locks</t>
  </si>
  <si>
    <t>Thea and Sid</t>
  </si>
  <si>
    <t>Proposal Solutions</t>
  </si>
  <si>
    <t>Experential Etc</t>
  </si>
  <si>
    <t>Technology layered Advertisement Services</t>
  </si>
  <si>
    <t>GrowFitter</t>
  </si>
  <si>
    <t>Rewards App</t>
  </si>
  <si>
    <t>Med Tech</t>
  </si>
  <si>
    <t>Portable opthalmic devices</t>
  </si>
  <si>
    <t>Colour Me Mad</t>
  </si>
  <si>
    <t>Insoles</t>
  </si>
  <si>
    <t>Mavi's</t>
  </si>
  <si>
    <t>Vegan Fermented Food</t>
  </si>
  <si>
    <t>Tweek Labs</t>
  </si>
  <si>
    <t>Sportswear</t>
  </si>
  <si>
    <t>Proxgy</t>
  </si>
  <si>
    <t>VR</t>
  </si>
  <si>
    <t>Nomad Food Project</t>
  </si>
  <si>
    <t>Bacon Jams</t>
  </si>
  <si>
    <t>Twee in One</t>
  </si>
  <si>
    <t>Reversible and convertible clothing</t>
  </si>
  <si>
    <t>Green Protein</t>
  </si>
  <si>
    <t>Plant-Based Protein</t>
  </si>
  <si>
    <t>On2Cook</t>
  </si>
  <si>
    <t>Fastest Cooking Device</t>
  </si>
  <si>
    <t>Jain Shikanji</t>
  </si>
  <si>
    <t>Lemonade</t>
  </si>
  <si>
    <t>Woloo</t>
  </si>
  <si>
    <t>Washroom Finder</t>
  </si>
  <si>
    <t>Elcare India</t>
  </si>
  <si>
    <t>Carenting for Elders</t>
  </si>
  <si>
    <t>Startup_Name</t>
  </si>
  <si>
    <t>deal_status</t>
  </si>
  <si>
    <t>amount_invested</t>
  </si>
  <si>
    <t>amount_asked</t>
  </si>
  <si>
    <t>equity_given</t>
  </si>
  <si>
    <t>deal_result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</si>
</sst>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A47D-0E71-4581-89B3-D326CD33EA4F}">
  <dimension ref="A1:AC118"/>
  <sheetViews>
    <sheetView tabSelected="1" workbookViewId="0">
      <selection activeCell="F2" sqref="F2:F118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257</v>
      </c>
      <c r="D1" t="s">
        <v>2</v>
      </c>
      <c r="E1" t="s">
        <v>258</v>
      </c>
      <c r="F1" t="s">
        <v>262</v>
      </c>
      <c r="G1" t="s">
        <v>260</v>
      </c>
      <c r="H1" t="s">
        <v>3</v>
      </c>
      <c r="I1" t="s">
        <v>4</v>
      </c>
      <c r="J1" t="s">
        <v>259</v>
      </c>
      <c r="K1" t="s">
        <v>261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</row>
    <row r="2" spans="1:29" x14ac:dyDescent="0.3">
      <c r="A2">
        <v>1</v>
      </c>
      <c r="B2">
        <v>1</v>
      </c>
      <c r="C2" t="s">
        <v>23</v>
      </c>
      <c r="D2" t="s">
        <v>24</v>
      </c>
      <c r="E2">
        <v>1</v>
      </c>
      <c r="F2" t="str">
        <f>IF(E2=1,"Deal","No Deal")</f>
        <v>Deal</v>
      </c>
      <c r="G2">
        <v>50</v>
      </c>
      <c r="H2">
        <v>5</v>
      </c>
      <c r="I2">
        <v>1000</v>
      </c>
      <c r="J2">
        <v>75</v>
      </c>
      <c r="K2">
        <v>16</v>
      </c>
      <c r="L2">
        <v>468.75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3</v>
      </c>
      <c r="AB2">
        <v>25</v>
      </c>
      <c r="AC2">
        <v>5.3333333329999997</v>
      </c>
    </row>
    <row r="3" spans="1:29" x14ac:dyDescent="0.3">
      <c r="A3">
        <v>1</v>
      </c>
      <c r="B3">
        <v>2</v>
      </c>
      <c r="C3" t="s">
        <v>25</v>
      </c>
      <c r="D3" t="s">
        <v>26</v>
      </c>
      <c r="E3">
        <v>1</v>
      </c>
      <c r="F3" t="str">
        <f t="shared" ref="F3:F66" si="0">IF(E3=1,"Deal","No Deal")</f>
        <v>Deal</v>
      </c>
      <c r="G3">
        <v>40</v>
      </c>
      <c r="H3">
        <v>15</v>
      </c>
      <c r="I3">
        <v>266.67</v>
      </c>
      <c r="J3">
        <v>40</v>
      </c>
      <c r="K3">
        <v>50</v>
      </c>
      <c r="L3">
        <v>80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2</v>
      </c>
      <c r="AB3">
        <v>20</v>
      </c>
      <c r="AC3">
        <v>25</v>
      </c>
    </row>
    <row r="4" spans="1:29" x14ac:dyDescent="0.3">
      <c r="A4">
        <v>1</v>
      </c>
      <c r="B4">
        <v>3</v>
      </c>
      <c r="C4" t="s">
        <v>27</v>
      </c>
      <c r="D4" t="s">
        <v>28</v>
      </c>
      <c r="E4">
        <v>1</v>
      </c>
      <c r="F4" t="str">
        <f t="shared" si="0"/>
        <v>Deal</v>
      </c>
      <c r="G4">
        <v>25</v>
      </c>
      <c r="H4">
        <v>10</v>
      </c>
      <c r="I4">
        <v>250</v>
      </c>
      <c r="J4">
        <v>25</v>
      </c>
      <c r="K4">
        <v>30</v>
      </c>
      <c r="L4">
        <v>83.33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2</v>
      </c>
      <c r="AB4">
        <v>12.5</v>
      </c>
      <c r="AC4">
        <v>15</v>
      </c>
    </row>
    <row r="5" spans="1:29" x14ac:dyDescent="0.3">
      <c r="A5">
        <v>2</v>
      </c>
      <c r="B5">
        <v>4</v>
      </c>
      <c r="C5" t="s">
        <v>29</v>
      </c>
      <c r="D5" t="s">
        <v>30</v>
      </c>
      <c r="E5">
        <v>1</v>
      </c>
      <c r="F5" t="str">
        <f t="shared" si="0"/>
        <v>Deal</v>
      </c>
      <c r="G5">
        <v>70</v>
      </c>
      <c r="H5">
        <v>1</v>
      </c>
      <c r="I5">
        <v>7000</v>
      </c>
      <c r="J5">
        <v>70</v>
      </c>
      <c r="K5">
        <v>2.75</v>
      </c>
      <c r="L5">
        <v>2545.4499999999998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70</v>
      </c>
      <c r="AC5">
        <v>2.75</v>
      </c>
    </row>
    <row r="6" spans="1:29" x14ac:dyDescent="0.3">
      <c r="A6">
        <v>2</v>
      </c>
      <c r="B6">
        <v>5</v>
      </c>
      <c r="C6" t="s">
        <v>31</v>
      </c>
      <c r="D6" t="s">
        <v>32</v>
      </c>
      <c r="E6">
        <v>0</v>
      </c>
      <c r="F6" t="str">
        <f t="shared" si="0"/>
        <v>No Deal</v>
      </c>
      <c r="G6">
        <v>50</v>
      </c>
      <c r="H6">
        <v>5</v>
      </c>
      <c r="I6">
        <v>1000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>
        <v>2</v>
      </c>
      <c r="B7">
        <v>6</v>
      </c>
      <c r="C7" t="s">
        <v>33</v>
      </c>
      <c r="D7" t="s">
        <v>34</v>
      </c>
      <c r="E7">
        <v>0</v>
      </c>
      <c r="F7" t="str">
        <f t="shared" si="0"/>
        <v>No Deal</v>
      </c>
      <c r="G7">
        <v>50</v>
      </c>
      <c r="H7">
        <v>5</v>
      </c>
      <c r="I7">
        <v>1000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>
        <v>3</v>
      </c>
      <c r="B8">
        <v>7</v>
      </c>
      <c r="C8" t="s">
        <v>35</v>
      </c>
      <c r="D8" t="s">
        <v>36</v>
      </c>
      <c r="E8">
        <v>0</v>
      </c>
      <c r="F8" t="str">
        <f t="shared" si="0"/>
        <v>No Deal</v>
      </c>
      <c r="G8">
        <v>100</v>
      </c>
      <c r="H8">
        <v>0.25</v>
      </c>
      <c r="I8">
        <v>40000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>
        <v>3</v>
      </c>
      <c r="B9">
        <v>8</v>
      </c>
      <c r="C9" t="s">
        <v>37</v>
      </c>
      <c r="D9" t="s">
        <v>38</v>
      </c>
      <c r="E9">
        <v>1</v>
      </c>
      <c r="F9" t="str">
        <f t="shared" si="0"/>
        <v>Deal</v>
      </c>
      <c r="G9">
        <v>75</v>
      </c>
      <c r="H9">
        <v>4</v>
      </c>
      <c r="I9">
        <v>1875</v>
      </c>
      <c r="J9">
        <v>75</v>
      </c>
      <c r="K9">
        <v>6</v>
      </c>
      <c r="L9">
        <v>1250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75</v>
      </c>
      <c r="AC9">
        <v>6</v>
      </c>
    </row>
    <row r="10" spans="1:29" x14ac:dyDescent="0.3">
      <c r="A10">
        <v>3</v>
      </c>
      <c r="B10">
        <v>9</v>
      </c>
      <c r="C10" t="s">
        <v>39</v>
      </c>
      <c r="D10" t="s">
        <v>40</v>
      </c>
      <c r="E10">
        <v>1</v>
      </c>
      <c r="F10" t="str">
        <f t="shared" si="0"/>
        <v>Deal</v>
      </c>
      <c r="G10">
        <v>50</v>
      </c>
      <c r="H10">
        <v>2</v>
      </c>
      <c r="I10">
        <v>2500</v>
      </c>
      <c r="J10">
        <v>20</v>
      </c>
      <c r="K10">
        <v>15</v>
      </c>
      <c r="L10">
        <v>133.33000000000001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20</v>
      </c>
      <c r="AC10">
        <v>15</v>
      </c>
    </row>
    <row r="11" spans="1:29" x14ac:dyDescent="0.3">
      <c r="A11">
        <v>4</v>
      </c>
      <c r="B11">
        <v>10</v>
      </c>
      <c r="C11" t="s">
        <v>41</v>
      </c>
      <c r="D11" t="s">
        <v>42</v>
      </c>
      <c r="E11">
        <v>1</v>
      </c>
      <c r="F11" t="str">
        <f t="shared" si="0"/>
        <v>Deal</v>
      </c>
      <c r="G11">
        <v>50</v>
      </c>
      <c r="H11">
        <v>7.5</v>
      </c>
      <c r="I11">
        <v>666.67</v>
      </c>
      <c r="J11">
        <v>50</v>
      </c>
      <c r="K11">
        <v>25</v>
      </c>
      <c r="L11">
        <v>200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2</v>
      </c>
      <c r="AB11">
        <v>25</v>
      </c>
      <c r="AC11">
        <v>12.5</v>
      </c>
    </row>
    <row r="12" spans="1:29" x14ac:dyDescent="0.3">
      <c r="A12">
        <v>4</v>
      </c>
      <c r="B12">
        <v>11</v>
      </c>
      <c r="C12" t="s">
        <v>43</v>
      </c>
      <c r="D12" t="s">
        <v>44</v>
      </c>
      <c r="E12">
        <v>0</v>
      </c>
      <c r="F12" t="str">
        <f t="shared" si="0"/>
        <v>No Deal</v>
      </c>
      <c r="G12">
        <v>50</v>
      </c>
      <c r="H12">
        <v>10</v>
      </c>
      <c r="I12">
        <v>500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>
        <v>4</v>
      </c>
      <c r="B13">
        <v>12</v>
      </c>
      <c r="C13" t="s">
        <v>45</v>
      </c>
      <c r="D13" t="s">
        <v>46</v>
      </c>
      <c r="E13">
        <v>1</v>
      </c>
      <c r="F13" t="str">
        <f t="shared" si="0"/>
        <v>Deal</v>
      </c>
      <c r="G13">
        <v>75</v>
      </c>
      <c r="H13">
        <v>4</v>
      </c>
      <c r="I13">
        <v>1875</v>
      </c>
      <c r="J13">
        <v>75</v>
      </c>
      <c r="K13">
        <v>7.5</v>
      </c>
      <c r="L13">
        <v>1000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2</v>
      </c>
      <c r="AB13">
        <v>37.5</v>
      </c>
      <c r="AC13">
        <v>3.75</v>
      </c>
    </row>
    <row r="14" spans="1:29" x14ac:dyDescent="0.3">
      <c r="A14">
        <v>5</v>
      </c>
      <c r="B14">
        <v>13</v>
      </c>
      <c r="C14" t="s">
        <v>47</v>
      </c>
      <c r="D14" t="s">
        <v>48</v>
      </c>
      <c r="E14">
        <v>1</v>
      </c>
      <c r="F14" t="str">
        <f t="shared" si="0"/>
        <v>Deal</v>
      </c>
      <c r="G14">
        <v>100</v>
      </c>
      <c r="H14">
        <v>1</v>
      </c>
      <c r="I14">
        <v>10000</v>
      </c>
      <c r="J14">
        <v>100</v>
      </c>
      <c r="K14">
        <v>1.5</v>
      </c>
      <c r="L14">
        <v>6666.67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2</v>
      </c>
      <c r="AB14">
        <v>50</v>
      </c>
      <c r="AC14">
        <v>0.75</v>
      </c>
    </row>
    <row r="15" spans="1:29" x14ac:dyDescent="0.3">
      <c r="A15">
        <v>5</v>
      </c>
      <c r="B15">
        <v>14</v>
      </c>
      <c r="C15" t="s">
        <v>49</v>
      </c>
      <c r="D15" t="s">
        <v>50</v>
      </c>
      <c r="E15">
        <v>0</v>
      </c>
      <c r="F15" t="str">
        <f t="shared" si="0"/>
        <v>No Deal</v>
      </c>
      <c r="G15">
        <v>50</v>
      </c>
      <c r="H15">
        <v>5</v>
      </c>
      <c r="I15">
        <v>1000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>
        <v>5</v>
      </c>
      <c r="B16">
        <v>15</v>
      </c>
      <c r="C16" t="s">
        <v>51</v>
      </c>
      <c r="D16" t="s">
        <v>52</v>
      </c>
      <c r="E16">
        <v>0</v>
      </c>
      <c r="F16" t="str">
        <f t="shared" si="0"/>
        <v>No Deal</v>
      </c>
      <c r="G16">
        <v>10</v>
      </c>
      <c r="H16">
        <v>20</v>
      </c>
      <c r="I16">
        <v>50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>
        <v>6</v>
      </c>
      <c r="B17">
        <v>16</v>
      </c>
      <c r="C17" t="s">
        <v>53</v>
      </c>
      <c r="D17" t="s">
        <v>54</v>
      </c>
      <c r="E17">
        <v>1</v>
      </c>
      <c r="F17" t="str">
        <f t="shared" si="0"/>
        <v>Deal</v>
      </c>
      <c r="G17">
        <v>45</v>
      </c>
      <c r="H17">
        <v>5</v>
      </c>
      <c r="I17">
        <v>900</v>
      </c>
      <c r="J17">
        <v>100</v>
      </c>
      <c r="K17">
        <v>15</v>
      </c>
      <c r="L17">
        <v>666.67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0</v>
      </c>
      <c r="AA17">
        <v>5</v>
      </c>
      <c r="AB17">
        <v>20</v>
      </c>
      <c r="AC17">
        <v>3</v>
      </c>
    </row>
    <row r="18" spans="1:29" x14ac:dyDescent="0.3">
      <c r="A18">
        <v>6</v>
      </c>
      <c r="B18">
        <v>17</v>
      </c>
      <c r="C18" t="s">
        <v>55</v>
      </c>
      <c r="D18" t="s">
        <v>56</v>
      </c>
      <c r="E18">
        <v>1</v>
      </c>
      <c r="F18" t="str">
        <f t="shared" si="0"/>
        <v>Deal</v>
      </c>
      <c r="G18">
        <v>50</v>
      </c>
      <c r="H18">
        <v>10</v>
      </c>
      <c r="I18">
        <v>500</v>
      </c>
      <c r="J18">
        <v>50</v>
      </c>
      <c r="K18">
        <v>20</v>
      </c>
      <c r="L18">
        <v>250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50</v>
      </c>
      <c r="AC18">
        <v>20</v>
      </c>
    </row>
    <row r="19" spans="1:29" x14ac:dyDescent="0.3">
      <c r="A19">
        <v>6</v>
      </c>
      <c r="B19">
        <v>18</v>
      </c>
      <c r="C19" t="s">
        <v>57</v>
      </c>
      <c r="D19" t="s">
        <v>58</v>
      </c>
      <c r="E19">
        <v>0</v>
      </c>
      <c r="F19" t="str">
        <f t="shared" si="0"/>
        <v>No Deal</v>
      </c>
      <c r="G19">
        <v>100</v>
      </c>
      <c r="H19">
        <v>1</v>
      </c>
      <c r="I19">
        <v>10000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>
        <v>7</v>
      </c>
      <c r="B20">
        <v>19</v>
      </c>
      <c r="C20" t="s">
        <v>59</v>
      </c>
      <c r="D20" t="s">
        <v>60</v>
      </c>
      <c r="E20">
        <v>0</v>
      </c>
      <c r="F20" t="str">
        <f t="shared" si="0"/>
        <v>No Deal</v>
      </c>
      <c r="G20">
        <v>100</v>
      </c>
      <c r="H20">
        <v>2</v>
      </c>
      <c r="I20">
        <v>5000</v>
      </c>
      <c r="J20">
        <v>100</v>
      </c>
      <c r="K20">
        <v>4</v>
      </c>
      <c r="L20">
        <v>2500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2</v>
      </c>
      <c r="AB20">
        <v>50</v>
      </c>
      <c r="AC20">
        <v>2</v>
      </c>
    </row>
    <row r="21" spans="1:29" x14ac:dyDescent="0.3">
      <c r="A21">
        <v>7</v>
      </c>
      <c r="B21">
        <v>20</v>
      </c>
      <c r="C21" t="s">
        <v>61</v>
      </c>
      <c r="D21" t="s">
        <v>62</v>
      </c>
      <c r="E21">
        <v>1</v>
      </c>
      <c r="F21" t="str">
        <f t="shared" si="0"/>
        <v>Deal</v>
      </c>
      <c r="G21">
        <v>75</v>
      </c>
      <c r="H21">
        <v>1</v>
      </c>
      <c r="I21">
        <v>7500</v>
      </c>
      <c r="J21">
        <v>0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>
        <v>7</v>
      </c>
      <c r="B22">
        <v>21</v>
      </c>
      <c r="C22" t="s">
        <v>63</v>
      </c>
      <c r="D22" t="s">
        <v>64</v>
      </c>
      <c r="E22">
        <v>0</v>
      </c>
      <c r="F22" t="str">
        <f t="shared" si="0"/>
        <v>No Deal</v>
      </c>
      <c r="G22">
        <v>50</v>
      </c>
      <c r="H22">
        <v>7.5</v>
      </c>
      <c r="I22">
        <v>666.67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3">
      <c r="A23">
        <v>8</v>
      </c>
      <c r="B23">
        <v>22</v>
      </c>
      <c r="C23" t="s">
        <v>65</v>
      </c>
      <c r="D23" t="s">
        <v>66</v>
      </c>
      <c r="E23">
        <v>1</v>
      </c>
      <c r="F23" t="str">
        <f t="shared" si="0"/>
        <v>Deal</v>
      </c>
      <c r="G23">
        <v>50</v>
      </c>
      <c r="H23">
        <v>2.5</v>
      </c>
      <c r="I23">
        <v>2000</v>
      </c>
      <c r="J23">
        <v>50</v>
      </c>
      <c r="K23">
        <v>2.5</v>
      </c>
      <c r="L23">
        <v>2000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2</v>
      </c>
      <c r="AB23">
        <v>25</v>
      </c>
      <c r="AC23">
        <v>1.25</v>
      </c>
    </row>
    <row r="24" spans="1:29" x14ac:dyDescent="0.3">
      <c r="A24">
        <v>8</v>
      </c>
      <c r="B24">
        <v>23</v>
      </c>
      <c r="C24" t="s">
        <v>67</v>
      </c>
      <c r="D24" t="s">
        <v>68</v>
      </c>
      <c r="E24">
        <v>1</v>
      </c>
      <c r="F24" t="str">
        <f t="shared" si="0"/>
        <v>Deal</v>
      </c>
      <c r="G24">
        <v>56</v>
      </c>
      <c r="H24">
        <v>7.5</v>
      </c>
      <c r="I24">
        <v>746.67</v>
      </c>
      <c r="J24">
        <v>56</v>
      </c>
      <c r="K24">
        <v>33.299999999999997</v>
      </c>
      <c r="L24">
        <v>168.17</v>
      </c>
      <c r="M24">
        <v>1</v>
      </c>
      <c r="N24">
        <v>1</v>
      </c>
      <c r="O24">
        <v>1</v>
      </c>
      <c r="P24">
        <v>1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2</v>
      </c>
      <c r="AB24">
        <v>28</v>
      </c>
      <c r="AC24">
        <v>16.649999999999999</v>
      </c>
    </row>
    <row r="25" spans="1:29" x14ac:dyDescent="0.3">
      <c r="A25">
        <v>8</v>
      </c>
      <c r="B25">
        <v>24</v>
      </c>
      <c r="C25" t="s">
        <v>69</v>
      </c>
      <c r="D25" t="s">
        <v>70</v>
      </c>
      <c r="E25">
        <v>1</v>
      </c>
      <c r="F25" t="str">
        <f t="shared" si="0"/>
        <v>Deal</v>
      </c>
      <c r="G25">
        <v>30</v>
      </c>
      <c r="H25">
        <v>3</v>
      </c>
      <c r="I25">
        <v>1000</v>
      </c>
      <c r="J25">
        <v>30</v>
      </c>
      <c r="K25">
        <v>6</v>
      </c>
      <c r="L25">
        <v>500</v>
      </c>
      <c r="M25">
        <v>1</v>
      </c>
      <c r="N25">
        <v>1</v>
      </c>
      <c r="O25">
        <v>1</v>
      </c>
      <c r="P25">
        <v>1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30</v>
      </c>
      <c r="AC25">
        <v>6</v>
      </c>
    </row>
    <row r="26" spans="1:29" x14ac:dyDescent="0.3">
      <c r="A26">
        <v>9</v>
      </c>
      <c r="B26">
        <v>25</v>
      </c>
      <c r="C26" t="s">
        <v>71</v>
      </c>
      <c r="D26" t="s">
        <v>72</v>
      </c>
      <c r="E26">
        <v>1</v>
      </c>
      <c r="F26" t="str">
        <f t="shared" si="0"/>
        <v>Deal</v>
      </c>
      <c r="G26">
        <v>50</v>
      </c>
      <c r="H26">
        <v>5</v>
      </c>
      <c r="I26">
        <v>1000</v>
      </c>
      <c r="J26">
        <v>50</v>
      </c>
      <c r="K26">
        <v>7</v>
      </c>
      <c r="L26">
        <v>714.29</v>
      </c>
      <c r="M26">
        <v>1</v>
      </c>
      <c r="N26">
        <v>1</v>
      </c>
      <c r="O26">
        <v>1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1</v>
      </c>
      <c r="X26">
        <v>0</v>
      </c>
      <c r="Y26">
        <v>0</v>
      </c>
      <c r="Z26">
        <v>0</v>
      </c>
      <c r="AA26">
        <v>2</v>
      </c>
      <c r="AB26">
        <v>25</v>
      </c>
      <c r="AC26">
        <v>3.5</v>
      </c>
    </row>
    <row r="27" spans="1:29" x14ac:dyDescent="0.3">
      <c r="A27">
        <v>9</v>
      </c>
      <c r="B27">
        <v>26</v>
      </c>
      <c r="C27" t="s">
        <v>73</v>
      </c>
      <c r="D27" t="s">
        <v>74</v>
      </c>
      <c r="E27">
        <v>1</v>
      </c>
      <c r="F27" t="str">
        <f t="shared" si="0"/>
        <v>Deal</v>
      </c>
      <c r="G27">
        <v>50</v>
      </c>
      <c r="H27">
        <v>2.5</v>
      </c>
      <c r="I27">
        <v>2000</v>
      </c>
      <c r="J27">
        <v>50</v>
      </c>
      <c r="K27">
        <v>10</v>
      </c>
      <c r="L27">
        <v>500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2</v>
      </c>
      <c r="AB27">
        <v>25</v>
      </c>
      <c r="AC27">
        <v>5</v>
      </c>
    </row>
    <row r="28" spans="1:29" x14ac:dyDescent="0.3">
      <c r="A28">
        <v>9</v>
      </c>
      <c r="B28">
        <v>27</v>
      </c>
      <c r="C28" t="s">
        <v>75</v>
      </c>
      <c r="D28" t="s">
        <v>76</v>
      </c>
      <c r="E28">
        <v>0</v>
      </c>
      <c r="F28" t="str">
        <f t="shared" si="0"/>
        <v>No Deal</v>
      </c>
      <c r="G28">
        <v>100</v>
      </c>
      <c r="H28">
        <v>5</v>
      </c>
      <c r="I28">
        <v>2000</v>
      </c>
      <c r="J28">
        <v>0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>
        <v>10</v>
      </c>
      <c r="B29">
        <v>28</v>
      </c>
      <c r="C29" t="s">
        <v>77</v>
      </c>
      <c r="D29" t="s">
        <v>78</v>
      </c>
      <c r="E29">
        <v>1</v>
      </c>
      <c r="F29" t="str">
        <f t="shared" si="0"/>
        <v>Deal</v>
      </c>
      <c r="G29">
        <v>25</v>
      </c>
      <c r="H29">
        <v>5</v>
      </c>
      <c r="I29">
        <v>500</v>
      </c>
      <c r="J29">
        <v>25</v>
      </c>
      <c r="K29">
        <v>20</v>
      </c>
      <c r="L29">
        <v>125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3</v>
      </c>
      <c r="AB29">
        <v>8.3333333330000006</v>
      </c>
      <c r="AC29">
        <v>6.6666666670000003</v>
      </c>
    </row>
    <row r="30" spans="1:29" x14ac:dyDescent="0.3">
      <c r="A30">
        <v>10</v>
      </c>
      <c r="B30">
        <v>29</v>
      </c>
      <c r="C30" t="s">
        <v>79</v>
      </c>
      <c r="D30" t="s">
        <v>80</v>
      </c>
      <c r="E30">
        <v>1</v>
      </c>
      <c r="F30" t="str">
        <f t="shared" si="0"/>
        <v>Deal</v>
      </c>
      <c r="G30">
        <v>30</v>
      </c>
      <c r="H30">
        <v>5</v>
      </c>
      <c r="I30">
        <v>600</v>
      </c>
      <c r="J30">
        <v>30</v>
      </c>
      <c r="K30">
        <v>20</v>
      </c>
      <c r="L30">
        <v>150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1</v>
      </c>
      <c r="Z30">
        <v>0</v>
      </c>
      <c r="AA30">
        <v>3</v>
      </c>
      <c r="AB30">
        <v>10</v>
      </c>
      <c r="AC30">
        <v>6.6666666670000003</v>
      </c>
    </row>
    <row r="31" spans="1:29" x14ac:dyDescent="0.3">
      <c r="A31">
        <v>10</v>
      </c>
      <c r="B31">
        <v>30</v>
      </c>
      <c r="C31" t="s">
        <v>81</v>
      </c>
      <c r="D31" t="s">
        <v>82</v>
      </c>
      <c r="E31">
        <v>1</v>
      </c>
      <c r="F31" t="str">
        <f t="shared" si="0"/>
        <v>Deal</v>
      </c>
      <c r="G31">
        <v>30</v>
      </c>
      <c r="H31">
        <v>2</v>
      </c>
      <c r="I31">
        <v>1500</v>
      </c>
      <c r="J31">
        <v>30</v>
      </c>
      <c r="K31">
        <v>3</v>
      </c>
      <c r="L31">
        <v>1000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3</v>
      </c>
      <c r="AB31">
        <v>10</v>
      </c>
      <c r="AC31">
        <v>1</v>
      </c>
    </row>
    <row r="32" spans="1:29" x14ac:dyDescent="0.3">
      <c r="A32">
        <v>11</v>
      </c>
      <c r="B32">
        <v>31</v>
      </c>
      <c r="C32" t="s">
        <v>83</v>
      </c>
      <c r="D32" t="s">
        <v>84</v>
      </c>
      <c r="E32">
        <v>0</v>
      </c>
      <c r="F32" t="str">
        <f t="shared" si="0"/>
        <v>No Deal</v>
      </c>
      <c r="G32">
        <v>30000</v>
      </c>
      <c r="H32">
        <v>25</v>
      </c>
      <c r="I32">
        <v>120000</v>
      </c>
      <c r="J32">
        <v>0</v>
      </c>
      <c r="K32">
        <v>0</v>
      </c>
      <c r="L32">
        <v>0</v>
      </c>
      <c r="M32">
        <v>1</v>
      </c>
      <c r="N32">
        <v>1</v>
      </c>
      <c r="O32">
        <v>1</v>
      </c>
      <c r="P32">
        <v>1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3">
      <c r="A33">
        <v>11</v>
      </c>
      <c r="B33">
        <v>32</v>
      </c>
      <c r="C33" t="s">
        <v>85</v>
      </c>
      <c r="D33" t="s">
        <v>86</v>
      </c>
      <c r="E33">
        <v>1</v>
      </c>
      <c r="F33" t="str">
        <f t="shared" si="0"/>
        <v>Deal</v>
      </c>
      <c r="G33">
        <v>50</v>
      </c>
      <c r="H33">
        <v>5</v>
      </c>
      <c r="I33">
        <v>1000</v>
      </c>
      <c r="J33">
        <v>50</v>
      </c>
      <c r="K33">
        <v>15</v>
      </c>
      <c r="L33">
        <v>333.33</v>
      </c>
      <c r="M33">
        <v>1</v>
      </c>
      <c r="N33">
        <v>1</v>
      </c>
      <c r="O33">
        <v>1</v>
      </c>
      <c r="P33">
        <v>1</v>
      </c>
      <c r="Q33">
        <v>0</v>
      </c>
      <c r="R33">
        <v>1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50</v>
      </c>
      <c r="AC33">
        <v>15</v>
      </c>
    </row>
    <row r="34" spans="1:29" x14ac:dyDescent="0.3">
      <c r="A34">
        <v>11</v>
      </c>
      <c r="B34">
        <v>33</v>
      </c>
      <c r="C34" t="s">
        <v>87</v>
      </c>
      <c r="D34" t="s">
        <v>88</v>
      </c>
      <c r="E34">
        <v>1</v>
      </c>
      <c r="F34" t="str">
        <f t="shared" si="0"/>
        <v>Deal</v>
      </c>
      <c r="G34">
        <v>30</v>
      </c>
      <c r="H34">
        <v>10</v>
      </c>
      <c r="I34">
        <v>300</v>
      </c>
      <c r="J34">
        <v>30</v>
      </c>
      <c r="K34">
        <v>20</v>
      </c>
      <c r="L34">
        <v>150</v>
      </c>
      <c r="M34">
        <v>1</v>
      </c>
      <c r="N34">
        <v>1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2</v>
      </c>
      <c r="AB34">
        <v>15</v>
      </c>
      <c r="AC34">
        <v>10</v>
      </c>
    </row>
    <row r="35" spans="1:29" x14ac:dyDescent="0.3">
      <c r="A35">
        <v>12</v>
      </c>
      <c r="B35">
        <v>34</v>
      </c>
      <c r="C35" t="s">
        <v>89</v>
      </c>
      <c r="D35" t="s">
        <v>90</v>
      </c>
      <c r="E35">
        <v>1</v>
      </c>
      <c r="F35" t="str">
        <f t="shared" si="0"/>
        <v>Deal</v>
      </c>
      <c r="G35">
        <v>75</v>
      </c>
      <c r="H35">
        <v>4</v>
      </c>
      <c r="I35">
        <v>1875</v>
      </c>
      <c r="J35">
        <v>75</v>
      </c>
      <c r="K35">
        <v>15</v>
      </c>
      <c r="L35">
        <v>500</v>
      </c>
      <c r="M35">
        <v>1</v>
      </c>
      <c r="N35">
        <v>1</v>
      </c>
      <c r="O35">
        <v>1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>
        <v>75</v>
      </c>
      <c r="AC35">
        <v>15</v>
      </c>
    </row>
    <row r="36" spans="1:29" x14ac:dyDescent="0.3">
      <c r="A36">
        <v>12</v>
      </c>
      <c r="B36">
        <v>35</v>
      </c>
      <c r="C36" t="s">
        <v>91</v>
      </c>
      <c r="D36" t="s">
        <v>92</v>
      </c>
      <c r="E36">
        <v>0</v>
      </c>
      <c r="F36" t="str">
        <f t="shared" si="0"/>
        <v>No Deal</v>
      </c>
      <c r="G36">
        <v>40</v>
      </c>
      <c r="H36">
        <v>3</v>
      </c>
      <c r="I36">
        <v>1333.33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3">
      <c r="A37">
        <v>12</v>
      </c>
      <c r="B37">
        <v>36</v>
      </c>
      <c r="C37" t="s">
        <v>93</v>
      </c>
      <c r="D37" t="s">
        <v>94</v>
      </c>
      <c r="E37">
        <v>1</v>
      </c>
      <c r="F37" t="str">
        <f t="shared" si="0"/>
        <v>Deal</v>
      </c>
      <c r="G37">
        <v>40</v>
      </c>
      <c r="H37">
        <v>5</v>
      </c>
      <c r="I37">
        <v>800</v>
      </c>
      <c r="J37">
        <v>40</v>
      </c>
      <c r="K37">
        <v>24</v>
      </c>
      <c r="L37">
        <v>166.67</v>
      </c>
      <c r="M37">
        <v>1</v>
      </c>
      <c r="N37">
        <v>1</v>
      </c>
      <c r="O37">
        <v>1</v>
      </c>
      <c r="P37">
        <v>1</v>
      </c>
      <c r="Q37">
        <v>0</v>
      </c>
      <c r="R37">
        <v>1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1</v>
      </c>
      <c r="Z37">
        <v>0</v>
      </c>
      <c r="AA37">
        <v>3</v>
      </c>
      <c r="AB37">
        <v>13.33333333</v>
      </c>
      <c r="AC37">
        <v>8</v>
      </c>
    </row>
    <row r="38" spans="1:29" x14ac:dyDescent="0.3">
      <c r="A38">
        <v>13</v>
      </c>
      <c r="B38">
        <v>37</v>
      </c>
      <c r="C38" t="s">
        <v>95</v>
      </c>
      <c r="D38" t="s">
        <v>96</v>
      </c>
      <c r="E38">
        <v>1</v>
      </c>
      <c r="F38" t="str">
        <f t="shared" si="0"/>
        <v>Deal</v>
      </c>
      <c r="G38">
        <v>30</v>
      </c>
      <c r="H38">
        <v>5</v>
      </c>
      <c r="I38">
        <v>600</v>
      </c>
      <c r="J38">
        <v>105</v>
      </c>
      <c r="K38">
        <v>3</v>
      </c>
      <c r="L38">
        <v>3500</v>
      </c>
      <c r="M38">
        <v>1</v>
      </c>
      <c r="N38">
        <v>1</v>
      </c>
      <c r="O38">
        <v>1</v>
      </c>
      <c r="P38">
        <v>1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1</v>
      </c>
      <c r="X38">
        <v>0</v>
      </c>
      <c r="Y38">
        <v>1</v>
      </c>
      <c r="Z38">
        <v>0</v>
      </c>
      <c r="AA38">
        <v>3</v>
      </c>
      <c r="AB38">
        <v>35</v>
      </c>
      <c r="AC38">
        <v>1</v>
      </c>
    </row>
    <row r="39" spans="1:29" x14ac:dyDescent="0.3">
      <c r="A39">
        <v>13</v>
      </c>
      <c r="B39">
        <v>38</v>
      </c>
      <c r="C39" t="s">
        <v>97</v>
      </c>
      <c r="D39" t="s">
        <v>98</v>
      </c>
      <c r="E39">
        <v>1</v>
      </c>
      <c r="F39" t="str">
        <f t="shared" si="0"/>
        <v>Deal</v>
      </c>
      <c r="G39">
        <v>50</v>
      </c>
      <c r="H39">
        <v>10</v>
      </c>
      <c r="I39">
        <v>500</v>
      </c>
      <c r="J39">
        <v>50</v>
      </c>
      <c r="K39">
        <v>20</v>
      </c>
      <c r="L39">
        <v>250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2</v>
      </c>
      <c r="AB39">
        <v>25</v>
      </c>
      <c r="AC39">
        <v>10</v>
      </c>
    </row>
    <row r="40" spans="1:29" x14ac:dyDescent="0.3">
      <c r="A40">
        <v>13</v>
      </c>
      <c r="B40">
        <v>39</v>
      </c>
      <c r="C40" t="s">
        <v>99</v>
      </c>
      <c r="D40" t="s">
        <v>100</v>
      </c>
      <c r="E40">
        <v>1</v>
      </c>
      <c r="F40" t="str">
        <f t="shared" si="0"/>
        <v>Deal</v>
      </c>
      <c r="G40">
        <v>50</v>
      </c>
      <c r="H40">
        <v>2</v>
      </c>
      <c r="I40">
        <v>2500</v>
      </c>
      <c r="J40">
        <v>100</v>
      </c>
      <c r="K40">
        <v>10</v>
      </c>
      <c r="L40">
        <v>1000</v>
      </c>
      <c r="M40">
        <v>1</v>
      </c>
      <c r="N40">
        <v>1</v>
      </c>
      <c r="O40">
        <v>1</v>
      </c>
      <c r="P40">
        <v>1</v>
      </c>
      <c r="Q40">
        <v>0</v>
      </c>
      <c r="R40">
        <v>1</v>
      </c>
      <c r="S40">
        <v>0</v>
      </c>
      <c r="T40">
        <v>1</v>
      </c>
      <c r="U40">
        <v>1</v>
      </c>
      <c r="V40">
        <v>1</v>
      </c>
      <c r="W40">
        <v>0</v>
      </c>
      <c r="X40">
        <v>0</v>
      </c>
      <c r="Y40">
        <v>1</v>
      </c>
      <c r="Z40">
        <v>0</v>
      </c>
      <c r="AA40">
        <v>4</v>
      </c>
      <c r="AB40">
        <v>25</v>
      </c>
      <c r="AC40">
        <v>2.5</v>
      </c>
    </row>
    <row r="41" spans="1:29" x14ac:dyDescent="0.3">
      <c r="A41">
        <v>14</v>
      </c>
      <c r="B41">
        <v>40</v>
      </c>
      <c r="C41" t="s">
        <v>101</v>
      </c>
      <c r="D41" t="s">
        <v>102</v>
      </c>
      <c r="E41">
        <v>1</v>
      </c>
      <c r="F41" t="str">
        <f t="shared" si="0"/>
        <v>Deal</v>
      </c>
      <c r="G41">
        <v>100</v>
      </c>
      <c r="H41">
        <v>3</v>
      </c>
      <c r="I41">
        <v>3333.33</v>
      </c>
      <c r="J41">
        <v>100</v>
      </c>
      <c r="K41">
        <v>6</v>
      </c>
      <c r="L41">
        <v>1666.67</v>
      </c>
      <c r="M41">
        <v>1</v>
      </c>
      <c r="N41">
        <v>1</v>
      </c>
      <c r="O41">
        <v>1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2</v>
      </c>
      <c r="AB41">
        <v>50</v>
      </c>
      <c r="AC41">
        <v>3</v>
      </c>
    </row>
    <row r="42" spans="1:29" x14ac:dyDescent="0.3">
      <c r="A42">
        <v>14</v>
      </c>
      <c r="B42">
        <v>41</v>
      </c>
      <c r="C42" t="s">
        <v>103</v>
      </c>
      <c r="D42" t="s">
        <v>104</v>
      </c>
      <c r="E42">
        <v>0</v>
      </c>
      <c r="F42" t="str">
        <f t="shared" si="0"/>
        <v>No Deal</v>
      </c>
      <c r="G42">
        <v>100</v>
      </c>
      <c r="H42">
        <v>3</v>
      </c>
      <c r="I42">
        <v>3333.33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3">
      <c r="A43">
        <v>14</v>
      </c>
      <c r="B43">
        <v>42</v>
      </c>
      <c r="C43" t="s">
        <v>105</v>
      </c>
      <c r="D43" t="s">
        <v>106</v>
      </c>
      <c r="E43">
        <v>0</v>
      </c>
      <c r="F43" t="str">
        <f t="shared" si="0"/>
        <v>No Deal</v>
      </c>
      <c r="G43">
        <v>45</v>
      </c>
      <c r="H43">
        <v>5</v>
      </c>
      <c r="I43">
        <v>900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3">
      <c r="A44">
        <v>15</v>
      </c>
      <c r="B44">
        <v>43</v>
      </c>
      <c r="C44" t="s">
        <v>107</v>
      </c>
      <c r="D44" t="s">
        <v>108</v>
      </c>
      <c r="E44">
        <v>1</v>
      </c>
      <c r="F44" t="str">
        <f t="shared" si="0"/>
        <v>Deal</v>
      </c>
      <c r="G44">
        <v>30</v>
      </c>
      <c r="H44">
        <v>3</v>
      </c>
      <c r="I44">
        <v>1000</v>
      </c>
      <c r="J44">
        <v>100</v>
      </c>
      <c r="K44">
        <v>40</v>
      </c>
      <c r="L44">
        <v>250</v>
      </c>
      <c r="M44">
        <v>1</v>
      </c>
      <c r="N44">
        <v>1</v>
      </c>
      <c r="O44">
        <v>1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1</v>
      </c>
      <c r="AB44">
        <v>100</v>
      </c>
      <c r="AC44">
        <v>40</v>
      </c>
    </row>
    <row r="45" spans="1:29" x14ac:dyDescent="0.3">
      <c r="A45">
        <v>15</v>
      </c>
      <c r="B45">
        <v>44</v>
      </c>
      <c r="C45" t="s">
        <v>109</v>
      </c>
      <c r="D45" t="s">
        <v>110</v>
      </c>
      <c r="E45">
        <v>1</v>
      </c>
      <c r="F45" t="str">
        <f t="shared" si="0"/>
        <v>Deal</v>
      </c>
      <c r="G45">
        <v>50</v>
      </c>
      <c r="H45">
        <v>4</v>
      </c>
      <c r="I45">
        <v>1250</v>
      </c>
      <c r="J45">
        <v>25</v>
      </c>
      <c r="K45">
        <v>25</v>
      </c>
      <c r="L45">
        <v>100</v>
      </c>
      <c r="M45">
        <v>1</v>
      </c>
      <c r="N45">
        <v>1</v>
      </c>
      <c r="O45">
        <v>1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1</v>
      </c>
      <c r="AB45">
        <v>25</v>
      </c>
      <c r="AC45">
        <v>25</v>
      </c>
    </row>
    <row r="46" spans="1:29" x14ac:dyDescent="0.3">
      <c r="A46">
        <v>15</v>
      </c>
      <c r="B46">
        <v>45</v>
      </c>
      <c r="C46" t="s">
        <v>111</v>
      </c>
      <c r="D46" t="s">
        <v>112</v>
      </c>
      <c r="E46">
        <v>1</v>
      </c>
      <c r="F46" t="str">
        <f t="shared" si="0"/>
        <v>Deal</v>
      </c>
      <c r="G46">
        <v>5</v>
      </c>
      <c r="H46">
        <v>5</v>
      </c>
      <c r="I46">
        <v>100</v>
      </c>
      <c r="J46">
        <v>5.0000000000000002E-5</v>
      </c>
      <c r="K46">
        <v>5</v>
      </c>
      <c r="L46">
        <v>0</v>
      </c>
      <c r="M46">
        <v>1</v>
      </c>
      <c r="N46">
        <v>1</v>
      </c>
      <c r="O46">
        <v>1</v>
      </c>
      <c r="P46">
        <v>1</v>
      </c>
      <c r="Q46">
        <v>0</v>
      </c>
      <c r="R46">
        <v>1</v>
      </c>
      <c r="S46">
        <v>0</v>
      </c>
      <c r="T46">
        <v>0</v>
      </c>
      <c r="U46">
        <v>1</v>
      </c>
      <c r="V46">
        <v>1</v>
      </c>
      <c r="W46">
        <v>1</v>
      </c>
      <c r="X46">
        <v>0</v>
      </c>
      <c r="Y46">
        <v>0</v>
      </c>
      <c r="Z46">
        <v>0</v>
      </c>
      <c r="AA46">
        <v>3</v>
      </c>
      <c r="AB46" s="1">
        <v>1.6699999999999999E-5</v>
      </c>
      <c r="AC46">
        <v>1.6666666670000001</v>
      </c>
    </row>
    <row r="47" spans="1:29" x14ac:dyDescent="0.3">
      <c r="A47">
        <v>16</v>
      </c>
      <c r="B47">
        <v>46</v>
      </c>
      <c r="C47" t="s">
        <v>113</v>
      </c>
      <c r="D47" t="s">
        <v>114</v>
      </c>
      <c r="E47">
        <v>1</v>
      </c>
      <c r="F47" t="str">
        <f t="shared" si="0"/>
        <v>Deal</v>
      </c>
      <c r="G47">
        <v>80</v>
      </c>
      <c r="H47">
        <v>4</v>
      </c>
      <c r="I47">
        <v>2000</v>
      </c>
      <c r="J47">
        <v>50</v>
      </c>
      <c r="K47">
        <v>3.5</v>
      </c>
      <c r="L47">
        <v>1428.57</v>
      </c>
      <c r="M47">
        <v>1</v>
      </c>
      <c r="N47">
        <v>1</v>
      </c>
      <c r="O47">
        <v>1</v>
      </c>
      <c r="P47">
        <v>1</v>
      </c>
      <c r="Q47">
        <v>0</v>
      </c>
      <c r="R47">
        <v>1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2</v>
      </c>
      <c r="AB47">
        <v>25</v>
      </c>
      <c r="AC47">
        <v>1.75</v>
      </c>
    </row>
    <row r="48" spans="1:29" x14ac:dyDescent="0.3">
      <c r="A48">
        <v>16</v>
      </c>
      <c r="B48">
        <v>47</v>
      </c>
      <c r="C48" t="s">
        <v>115</v>
      </c>
      <c r="D48" t="s">
        <v>116</v>
      </c>
      <c r="E48">
        <v>0</v>
      </c>
      <c r="F48" t="str">
        <f t="shared" si="0"/>
        <v>No Deal</v>
      </c>
      <c r="G48">
        <v>75</v>
      </c>
      <c r="H48">
        <v>7</v>
      </c>
      <c r="I48">
        <v>1071.43</v>
      </c>
      <c r="J48">
        <v>0</v>
      </c>
      <c r="K48">
        <v>0</v>
      </c>
      <c r="L48">
        <v>0</v>
      </c>
      <c r="M48">
        <v>1</v>
      </c>
      <c r="N48">
        <v>1</v>
      </c>
      <c r="O48">
        <v>1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3">
      <c r="A49">
        <v>16</v>
      </c>
      <c r="B49">
        <v>48</v>
      </c>
      <c r="C49" t="s">
        <v>117</v>
      </c>
      <c r="D49" t="s">
        <v>118</v>
      </c>
      <c r="E49">
        <v>1</v>
      </c>
      <c r="F49" t="str">
        <f t="shared" si="0"/>
        <v>Deal</v>
      </c>
      <c r="G49">
        <v>75</v>
      </c>
      <c r="H49">
        <v>4</v>
      </c>
      <c r="I49">
        <v>1875</v>
      </c>
      <c r="J49">
        <v>75</v>
      </c>
      <c r="K49">
        <v>15</v>
      </c>
      <c r="L49">
        <v>500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2</v>
      </c>
      <c r="AB49">
        <v>37.5</v>
      </c>
      <c r="AC49">
        <v>7.5</v>
      </c>
    </row>
    <row r="50" spans="1:29" x14ac:dyDescent="0.3">
      <c r="A50">
        <v>16</v>
      </c>
      <c r="B50">
        <v>49</v>
      </c>
      <c r="C50" t="s">
        <v>119</v>
      </c>
      <c r="D50" t="s">
        <v>120</v>
      </c>
      <c r="E50">
        <v>1</v>
      </c>
      <c r="F50" t="str">
        <f t="shared" si="0"/>
        <v>Deal</v>
      </c>
      <c r="G50">
        <v>45</v>
      </c>
      <c r="H50">
        <v>2</v>
      </c>
      <c r="I50">
        <v>2250</v>
      </c>
      <c r="J50">
        <v>45</v>
      </c>
      <c r="K50">
        <v>12</v>
      </c>
      <c r="L50">
        <v>375</v>
      </c>
      <c r="M50">
        <v>1</v>
      </c>
      <c r="N50">
        <v>1</v>
      </c>
      <c r="O50">
        <v>1</v>
      </c>
      <c r="P50">
        <v>1</v>
      </c>
      <c r="Q50">
        <v>0</v>
      </c>
      <c r="R50">
        <v>1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2</v>
      </c>
      <c r="AB50">
        <v>22.5</v>
      </c>
      <c r="AC50">
        <v>6</v>
      </c>
    </row>
    <row r="51" spans="1:29" x14ac:dyDescent="0.3">
      <c r="A51">
        <v>17</v>
      </c>
      <c r="B51">
        <v>50</v>
      </c>
      <c r="C51" t="s">
        <v>121</v>
      </c>
      <c r="D51" t="s">
        <v>122</v>
      </c>
      <c r="E51">
        <v>1</v>
      </c>
      <c r="F51" t="str">
        <f t="shared" si="0"/>
        <v>Deal</v>
      </c>
      <c r="G51">
        <v>50</v>
      </c>
      <c r="H51">
        <v>10</v>
      </c>
      <c r="I51">
        <v>500</v>
      </c>
      <c r="J51">
        <v>50</v>
      </c>
      <c r="K51">
        <v>25</v>
      </c>
      <c r="L51">
        <v>200</v>
      </c>
      <c r="M51">
        <v>1</v>
      </c>
      <c r="N51">
        <v>1</v>
      </c>
      <c r="O51">
        <v>1</v>
      </c>
      <c r="P51">
        <v>1</v>
      </c>
      <c r="Q51">
        <v>0</v>
      </c>
      <c r="R51">
        <v>1</v>
      </c>
      <c r="S51">
        <v>0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  <c r="Z51">
        <v>0</v>
      </c>
      <c r="AA51">
        <v>5</v>
      </c>
      <c r="AB51">
        <v>10</v>
      </c>
      <c r="AC51">
        <v>5</v>
      </c>
    </row>
    <row r="52" spans="1:29" x14ac:dyDescent="0.3">
      <c r="A52">
        <v>17</v>
      </c>
      <c r="B52">
        <v>51</v>
      </c>
      <c r="C52" t="s">
        <v>123</v>
      </c>
      <c r="D52" t="s">
        <v>124</v>
      </c>
      <c r="E52">
        <v>1</v>
      </c>
      <c r="F52" t="str">
        <f t="shared" si="0"/>
        <v>Deal</v>
      </c>
      <c r="G52">
        <v>150</v>
      </c>
      <c r="H52">
        <v>3</v>
      </c>
      <c r="I52">
        <v>5000</v>
      </c>
      <c r="J52">
        <v>150</v>
      </c>
      <c r="K52">
        <v>15</v>
      </c>
      <c r="L52">
        <v>1000</v>
      </c>
      <c r="M52">
        <v>1</v>
      </c>
      <c r="N52">
        <v>1</v>
      </c>
      <c r="O52">
        <v>1</v>
      </c>
      <c r="P52">
        <v>1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3</v>
      </c>
      <c r="AB52">
        <v>50</v>
      </c>
      <c r="AC52">
        <v>5</v>
      </c>
    </row>
    <row r="53" spans="1:29" x14ac:dyDescent="0.3">
      <c r="A53">
        <v>17</v>
      </c>
      <c r="B53">
        <v>52</v>
      </c>
      <c r="C53" t="s">
        <v>125</v>
      </c>
      <c r="D53" t="s">
        <v>126</v>
      </c>
      <c r="E53">
        <v>0</v>
      </c>
      <c r="F53" t="str">
        <f t="shared" si="0"/>
        <v>No Deal</v>
      </c>
      <c r="G53">
        <v>50</v>
      </c>
      <c r="H53">
        <v>5</v>
      </c>
      <c r="I53">
        <v>1000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3">
      <c r="A54">
        <v>17</v>
      </c>
      <c r="B54">
        <v>53</v>
      </c>
      <c r="C54" t="s">
        <v>127</v>
      </c>
      <c r="D54" t="s">
        <v>128</v>
      </c>
      <c r="E54">
        <v>1</v>
      </c>
      <c r="F54" t="str">
        <f t="shared" si="0"/>
        <v>Deal</v>
      </c>
      <c r="G54">
        <v>80</v>
      </c>
      <c r="H54">
        <v>10</v>
      </c>
      <c r="I54">
        <v>800</v>
      </c>
      <c r="J54">
        <v>80</v>
      </c>
      <c r="K54">
        <v>20</v>
      </c>
      <c r="L54">
        <v>400</v>
      </c>
      <c r="M54">
        <v>1</v>
      </c>
      <c r="N54">
        <v>1</v>
      </c>
      <c r="O54">
        <v>1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80</v>
      </c>
      <c r="AC54">
        <v>20</v>
      </c>
    </row>
    <row r="55" spans="1:29" x14ac:dyDescent="0.3">
      <c r="A55">
        <v>18</v>
      </c>
      <c r="B55">
        <v>54</v>
      </c>
      <c r="C55" t="s">
        <v>129</v>
      </c>
      <c r="D55" t="s">
        <v>130</v>
      </c>
      <c r="E55">
        <v>0</v>
      </c>
      <c r="F55" t="str">
        <f t="shared" si="0"/>
        <v>No Deal</v>
      </c>
      <c r="G55">
        <v>90</v>
      </c>
      <c r="H55">
        <v>3</v>
      </c>
      <c r="I55">
        <v>3000</v>
      </c>
      <c r="J55">
        <v>0</v>
      </c>
      <c r="K55">
        <v>0</v>
      </c>
      <c r="L55">
        <v>0</v>
      </c>
      <c r="M55">
        <v>1</v>
      </c>
      <c r="N55">
        <v>1</v>
      </c>
      <c r="O55">
        <v>1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3">
      <c r="A56">
        <v>18</v>
      </c>
      <c r="B56">
        <v>55</v>
      </c>
      <c r="C56" t="s">
        <v>131</v>
      </c>
      <c r="D56" t="s">
        <v>132</v>
      </c>
      <c r="E56">
        <v>0</v>
      </c>
      <c r="F56" t="str">
        <f t="shared" si="0"/>
        <v>No Deal</v>
      </c>
      <c r="G56">
        <v>50</v>
      </c>
      <c r="H56">
        <v>4</v>
      </c>
      <c r="I56">
        <v>1250</v>
      </c>
      <c r="J56">
        <v>0</v>
      </c>
      <c r="K56">
        <v>0</v>
      </c>
      <c r="L56">
        <v>0</v>
      </c>
      <c r="M56">
        <v>1</v>
      </c>
      <c r="N56">
        <v>1</v>
      </c>
      <c r="O56">
        <v>1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3">
      <c r="A57">
        <v>18</v>
      </c>
      <c r="B57">
        <v>56</v>
      </c>
      <c r="C57" t="s">
        <v>133</v>
      </c>
      <c r="D57" t="s">
        <v>134</v>
      </c>
      <c r="E57">
        <v>1</v>
      </c>
      <c r="F57" t="str">
        <f t="shared" si="0"/>
        <v>Deal</v>
      </c>
      <c r="G57">
        <v>100</v>
      </c>
      <c r="H57">
        <v>1</v>
      </c>
      <c r="I57">
        <v>10000</v>
      </c>
      <c r="J57">
        <v>1</v>
      </c>
      <c r="K57">
        <v>1</v>
      </c>
      <c r="L57">
        <v>100</v>
      </c>
      <c r="M57">
        <v>1</v>
      </c>
      <c r="N57">
        <v>1</v>
      </c>
      <c r="O57">
        <v>1</v>
      </c>
      <c r="P57">
        <v>1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1</v>
      </c>
      <c r="AC57">
        <v>1</v>
      </c>
    </row>
    <row r="58" spans="1:29" x14ac:dyDescent="0.3">
      <c r="A58">
        <v>18</v>
      </c>
      <c r="B58">
        <v>57</v>
      </c>
      <c r="C58" t="s">
        <v>135</v>
      </c>
      <c r="D58" t="s">
        <v>136</v>
      </c>
      <c r="E58">
        <v>0</v>
      </c>
      <c r="F58" t="str">
        <f t="shared" si="0"/>
        <v>No Deal</v>
      </c>
      <c r="G58">
        <v>50</v>
      </c>
      <c r="H58">
        <v>2.5</v>
      </c>
      <c r="I58">
        <v>2000</v>
      </c>
      <c r="J58">
        <v>0</v>
      </c>
      <c r="K58">
        <v>0</v>
      </c>
      <c r="L58">
        <v>0</v>
      </c>
      <c r="M58">
        <v>1</v>
      </c>
      <c r="N58">
        <v>1</v>
      </c>
      <c r="O58">
        <v>1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3">
      <c r="A59">
        <v>19</v>
      </c>
      <c r="B59">
        <v>58</v>
      </c>
      <c r="C59" t="s">
        <v>137</v>
      </c>
      <c r="D59" t="s">
        <v>138</v>
      </c>
      <c r="E59">
        <v>0</v>
      </c>
      <c r="F59" t="str">
        <f t="shared" si="0"/>
        <v>No Deal</v>
      </c>
      <c r="G59">
        <v>15</v>
      </c>
      <c r="H59">
        <v>5</v>
      </c>
      <c r="I59">
        <v>300</v>
      </c>
      <c r="J59">
        <v>0</v>
      </c>
      <c r="K59">
        <v>0</v>
      </c>
      <c r="L59">
        <v>0</v>
      </c>
      <c r="M59">
        <v>1</v>
      </c>
      <c r="N59">
        <v>1</v>
      </c>
      <c r="O59">
        <v>1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3">
      <c r="A60">
        <v>19</v>
      </c>
      <c r="B60">
        <v>59</v>
      </c>
      <c r="C60" t="s">
        <v>139</v>
      </c>
      <c r="D60" t="s">
        <v>140</v>
      </c>
      <c r="E60">
        <v>1</v>
      </c>
      <c r="F60" t="str">
        <f t="shared" si="0"/>
        <v>Deal</v>
      </c>
      <c r="G60">
        <v>50</v>
      </c>
      <c r="H60">
        <v>5</v>
      </c>
      <c r="I60">
        <v>1000</v>
      </c>
      <c r="J60">
        <v>60</v>
      </c>
      <c r="K60">
        <v>10</v>
      </c>
      <c r="L60">
        <v>600</v>
      </c>
      <c r="M60">
        <v>1</v>
      </c>
      <c r="N60">
        <v>1</v>
      </c>
      <c r="O60">
        <v>1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1</v>
      </c>
      <c r="Z60">
        <v>0</v>
      </c>
      <c r="AA60">
        <v>4</v>
      </c>
      <c r="AB60">
        <v>15</v>
      </c>
      <c r="AC60">
        <v>2.5</v>
      </c>
    </row>
    <row r="61" spans="1:29" x14ac:dyDescent="0.3">
      <c r="A61">
        <v>19</v>
      </c>
      <c r="B61">
        <v>60</v>
      </c>
      <c r="C61" t="s">
        <v>141</v>
      </c>
      <c r="D61" t="s">
        <v>142</v>
      </c>
      <c r="E61">
        <v>0</v>
      </c>
      <c r="F61" t="str">
        <f t="shared" si="0"/>
        <v>No Deal</v>
      </c>
      <c r="G61">
        <v>125</v>
      </c>
      <c r="H61">
        <v>1.25</v>
      </c>
      <c r="I61">
        <v>10000</v>
      </c>
      <c r="J61">
        <v>0</v>
      </c>
      <c r="K61">
        <v>0</v>
      </c>
      <c r="L61">
        <v>0</v>
      </c>
      <c r="M61">
        <v>1</v>
      </c>
      <c r="N61">
        <v>1</v>
      </c>
      <c r="O61">
        <v>1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3">
      <c r="A62">
        <v>19</v>
      </c>
      <c r="B62">
        <v>61</v>
      </c>
      <c r="C62" t="s">
        <v>143</v>
      </c>
      <c r="D62" t="s">
        <v>144</v>
      </c>
      <c r="E62">
        <v>0</v>
      </c>
      <c r="F62" t="str">
        <f t="shared" si="0"/>
        <v>No Deal</v>
      </c>
      <c r="G62">
        <v>120</v>
      </c>
      <c r="H62">
        <v>8</v>
      </c>
      <c r="I62">
        <v>1500</v>
      </c>
      <c r="J62">
        <v>0</v>
      </c>
      <c r="K62">
        <v>0</v>
      </c>
      <c r="L62">
        <v>0</v>
      </c>
      <c r="M62">
        <v>1</v>
      </c>
      <c r="N62">
        <v>1</v>
      </c>
      <c r="O62">
        <v>1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3">
      <c r="A63">
        <v>20</v>
      </c>
      <c r="B63">
        <v>62</v>
      </c>
      <c r="C63" t="s">
        <v>145</v>
      </c>
      <c r="D63" t="s">
        <v>146</v>
      </c>
      <c r="E63">
        <v>1</v>
      </c>
      <c r="F63" t="str">
        <f t="shared" si="0"/>
        <v>Deal</v>
      </c>
      <c r="G63">
        <v>65</v>
      </c>
      <c r="H63">
        <v>2</v>
      </c>
      <c r="I63">
        <v>3250</v>
      </c>
      <c r="J63">
        <v>40</v>
      </c>
      <c r="K63">
        <v>3</v>
      </c>
      <c r="L63">
        <v>1333.33</v>
      </c>
      <c r="M63">
        <v>1</v>
      </c>
      <c r="N63">
        <v>1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1</v>
      </c>
      <c r="AB63">
        <v>40</v>
      </c>
      <c r="AC63">
        <v>3</v>
      </c>
    </row>
    <row r="64" spans="1:29" x14ac:dyDescent="0.3">
      <c r="A64">
        <v>20</v>
      </c>
      <c r="B64">
        <v>63</v>
      </c>
      <c r="C64" t="s">
        <v>147</v>
      </c>
      <c r="D64" t="s">
        <v>148</v>
      </c>
      <c r="E64">
        <v>0</v>
      </c>
      <c r="F64" t="str">
        <f t="shared" si="0"/>
        <v>No Deal</v>
      </c>
      <c r="G64">
        <v>35</v>
      </c>
      <c r="H64">
        <v>5</v>
      </c>
      <c r="I64">
        <v>700</v>
      </c>
      <c r="J64">
        <v>0</v>
      </c>
      <c r="K64">
        <v>0</v>
      </c>
      <c r="L64">
        <v>0</v>
      </c>
      <c r="M64">
        <v>1</v>
      </c>
      <c r="N64">
        <v>1</v>
      </c>
      <c r="O64">
        <v>1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3">
      <c r="A65">
        <v>20</v>
      </c>
      <c r="B65">
        <v>64</v>
      </c>
      <c r="C65" t="s">
        <v>149</v>
      </c>
      <c r="D65" t="s">
        <v>150</v>
      </c>
      <c r="E65">
        <v>1</v>
      </c>
      <c r="F65" t="str">
        <f t="shared" si="0"/>
        <v>Deal</v>
      </c>
      <c r="G65">
        <v>50</v>
      </c>
      <c r="H65">
        <v>2</v>
      </c>
      <c r="I65">
        <v>2500</v>
      </c>
      <c r="J65">
        <v>100</v>
      </c>
      <c r="K65">
        <v>10</v>
      </c>
      <c r="L65">
        <v>1000</v>
      </c>
      <c r="M65">
        <v>1</v>
      </c>
      <c r="N65">
        <v>1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1</v>
      </c>
      <c r="V65">
        <v>1</v>
      </c>
      <c r="W65">
        <v>1</v>
      </c>
      <c r="X65">
        <v>0</v>
      </c>
      <c r="Y65">
        <v>1</v>
      </c>
      <c r="Z65">
        <v>0</v>
      </c>
      <c r="AA65">
        <v>5</v>
      </c>
      <c r="AB65">
        <v>20</v>
      </c>
      <c r="AC65">
        <v>2</v>
      </c>
    </row>
    <row r="66" spans="1:29" x14ac:dyDescent="0.3">
      <c r="A66">
        <v>21</v>
      </c>
      <c r="B66">
        <v>65</v>
      </c>
      <c r="C66" t="s">
        <v>151</v>
      </c>
      <c r="D66" t="s">
        <v>152</v>
      </c>
      <c r="E66">
        <v>1</v>
      </c>
      <c r="F66" t="str">
        <f t="shared" si="0"/>
        <v>Deal</v>
      </c>
      <c r="G66">
        <v>100</v>
      </c>
      <c r="H66">
        <v>8</v>
      </c>
      <c r="I66">
        <v>1250</v>
      </c>
      <c r="J66">
        <v>100</v>
      </c>
      <c r="K66">
        <v>15</v>
      </c>
      <c r="L66">
        <v>666.67</v>
      </c>
      <c r="M66">
        <v>1</v>
      </c>
      <c r="N66">
        <v>1</v>
      </c>
      <c r="O66">
        <v>1</v>
      </c>
      <c r="P66">
        <v>0</v>
      </c>
      <c r="Q66">
        <v>1</v>
      </c>
      <c r="R66">
        <v>1</v>
      </c>
      <c r="S66">
        <v>0</v>
      </c>
      <c r="T66">
        <v>1</v>
      </c>
      <c r="U66">
        <v>0</v>
      </c>
      <c r="V66">
        <v>1</v>
      </c>
      <c r="W66">
        <v>0</v>
      </c>
      <c r="X66">
        <v>1</v>
      </c>
      <c r="Y66">
        <v>0</v>
      </c>
      <c r="Z66">
        <v>0</v>
      </c>
      <c r="AA66">
        <v>3</v>
      </c>
      <c r="AB66">
        <v>33.333333330000002</v>
      </c>
      <c r="AC66">
        <v>5</v>
      </c>
    </row>
    <row r="67" spans="1:29" x14ac:dyDescent="0.3">
      <c r="A67">
        <v>21</v>
      </c>
      <c r="B67">
        <v>66</v>
      </c>
      <c r="C67" t="s">
        <v>153</v>
      </c>
      <c r="D67" t="s">
        <v>154</v>
      </c>
      <c r="E67">
        <v>1</v>
      </c>
      <c r="F67" t="str">
        <f t="shared" ref="F67:F118" si="1">IF(E67=1,"Deal","No Deal")</f>
        <v>Deal</v>
      </c>
      <c r="G67">
        <v>47</v>
      </c>
      <c r="H67">
        <v>10</v>
      </c>
      <c r="I67">
        <v>470</v>
      </c>
      <c r="J67">
        <v>25</v>
      </c>
      <c r="K67">
        <v>75</v>
      </c>
      <c r="L67">
        <v>33.33</v>
      </c>
      <c r="M67">
        <v>1</v>
      </c>
      <c r="N67">
        <v>1</v>
      </c>
      <c r="O67">
        <v>1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1</v>
      </c>
      <c r="AB67">
        <v>25</v>
      </c>
      <c r="AC67">
        <v>75</v>
      </c>
    </row>
    <row r="68" spans="1:29" x14ac:dyDescent="0.3">
      <c r="A68">
        <v>21</v>
      </c>
      <c r="B68">
        <v>67</v>
      </c>
      <c r="C68" t="s">
        <v>155</v>
      </c>
      <c r="D68" t="s">
        <v>156</v>
      </c>
      <c r="E68">
        <v>1</v>
      </c>
      <c r="F68" t="str">
        <f t="shared" si="1"/>
        <v>Deal</v>
      </c>
      <c r="G68">
        <v>35</v>
      </c>
      <c r="H68">
        <v>5</v>
      </c>
      <c r="I68">
        <v>700</v>
      </c>
      <c r="J68">
        <v>35</v>
      </c>
      <c r="K68">
        <v>24</v>
      </c>
      <c r="L68">
        <v>145.83000000000001</v>
      </c>
      <c r="M68">
        <v>1</v>
      </c>
      <c r="N68">
        <v>1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2</v>
      </c>
      <c r="AB68">
        <v>17.5</v>
      </c>
      <c r="AC68">
        <v>12</v>
      </c>
    </row>
    <row r="69" spans="1:29" x14ac:dyDescent="0.3">
      <c r="A69">
        <v>22</v>
      </c>
      <c r="B69">
        <v>68</v>
      </c>
      <c r="C69" t="s">
        <v>157</v>
      </c>
      <c r="D69" t="s">
        <v>158</v>
      </c>
      <c r="E69">
        <v>1</v>
      </c>
      <c r="F69" t="str">
        <f t="shared" si="1"/>
        <v>Deal</v>
      </c>
      <c r="G69">
        <v>60</v>
      </c>
      <c r="H69">
        <v>2</v>
      </c>
      <c r="I69">
        <v>3000</v>
      </c>
      <c r="J69">
        <v>60</v>
      </c>
      <c r="K69">
        <v>4</v>
      </c>
      <c r="L69">
        <v>1500</v>
      </c>
      <c r="M69">
        <v>1</v>
      </c>
      <c r="N69">
        <v>1</v>
      </c>
      <c r="O69">
        <v>1</v>
      </c>
      <c r="P69">
        <v>0</v>
      </c>
      <c r="Q69">
        <v>1</v>
      </c>
      <c r="R69">
        <v>1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3</v>
      </c>
      <c r="AB69">
        <v>20</v>
      </c>
      <c r="AC69">
        <v>1.3333333329999999</v>
      </c>
    </row>
    <row r="70" spans="1:29" x14ac:dyDescent="0.3">
      <c r="A70">
        <v>22</v>
      </c>
      <c r="B70">
        <v>69</v>
      </c>
      <c r="C70" t="s">
        <v>159</v>
      </c>
      <c r="D70" t="s">
        <v>160</v>
      </c>
      <c r="E70">
        <v>0</v>
      </c>
      <c r="F70" t="str">
        <f t="shared" si="1"/>
        <v>No Deal</v>
      </c>
      <c r="G70">
        <v>75</v>
      </c>
      <c r="H70">
        <v>5</v>
      </c>
      <c r="I70">
        <v>1500</v>
      </c>
      <c r="J70">
        <v>0</v>
      </c>
      <c r="K70">
        <v>0</v>
      </c>
      <c r="L70">
        <v>0</v>
      </c>
      <c r="M70">
        <v>1</v>
      </c>
      <c r="N70">
        <v>1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3">
      <c r="A71">
        <v>22</v>
      </c>
      <c r="B71">
        <v>70</v>
      </c>
      <c r="C71" t="s">
        <v>161</v>
      </c>
      <c r="D71" t="s">
        <v>162</v>
      </c>
      <c r="E71">
        <v>0</v>
      </c>
      <c r="F71" t="str">
        <f t="shared" si="1"/>
        <v>No Deal</v>
      </c>
      <c r="G71">
        <v>80</v>
      </c>
      <c r="H71">
        <v>5</v>
      </c>
      <c r="I71">
        <v>1600</v>
      </c>
      <c r="J71">
        <v>0</v>
      </c>
      <c r="K71">
        <v>0</v>
      </c>
      <c r="L71">
        <v>0</v>
      </c>
      <c r="M71">
        <v>1</v>
      </c>
      <c r="N71">
        <v>1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3">
      <c r="A72">
        <v>22</v>
      </c>
      <c r="B72">
        <v>71</v>
      </c>
      <c r="C72" t="s">
        <v>163</v>
      </c>
      <c r="D72" t="s">
        <v>164</v>
      </c>
      <c r="E72">
        <v>0</v>
      </c>
      <c r="F72" t="str">
        <f t="shared" si="1"/>
        <v>No Deal</v>
      </c>
      <c r="G72">
        <v>50</v>
      </c>
      <c r="H72">
        <v>2</v>
      </c>
      <c r="I72">
        <v>2500</v>
      </c>
      <c r="J72">
        <v>0</v>
      </c>
      <c r="K72">
        <v>0</v>
      </c>
      <c r="L72">
        <v>0</v>
      </c>
      <c r="M72">
        <v>1</v>
      </c>
      <c r="N72">
        <v>1</v>
      </c>
      <c r="O72">
        <v>1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3">
      <c r="A73">
        <v>23</v>
      </c>
      <c r="B73">
        <v>72</v>
      </c>
      <c r="C73" t="s">
        <v>165</v>
      </c>
      <c r="D73" t="s">
        <v>166</v>
      </c>
      <c r="E73">
        <v>1</v>
      </c>
      <c r="F73" t="str">
        <f t="shared" si="1"/>
        <v>Deal</v>
      </c>
      <c r="G73">
        <v>100</v>
      </c>
      <c r="H73">
        <v>5</v>
      </c>
      <c r="I73">
        <v>2000</v>
      </c>
      <c r="J73">
        <v>50</v>
      </c>
      <c r="K73">
        <v>10</v>
      </c>
      <c r="L73">
        <v>500</v>
      </c>
      <c r="M73">
        <v>1</v>
      </c>
      <c r="N73">
        <v>1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1</v>
      </c>
      <c r="AB73">
        <v>50</v>
      </c>
      <c r="AC73">
        <v>10</v>
      </c>
    </row>
    <row r="74" spans="1:29" x14ac:dyDescent="0.3">
      <c r="A74">
        <v>23</v>
      </c>
      <c r="B74">
        <v>73</v>
      </c>
      <c r="C74" t="s">
        <v>167</v>
      </c>
      <c r="D74" t="s">
        <v>168</v>
      </c>
      <c r="E74">
        <v>0</v>
      </c>
      <c r="F74" t="str">
        <f t="shared" si="1"/>
        <v>No Deal</v>
      </c>
      <c r="G74">
        <v>100</v>
      </c>
      <c r="H74">
        <v>1</v>
      </c>
      <c r="I74">
        <v>10000</v>
      </c>
      <c r="J74">
        <v>0</v>
      </c>
      <c r="K74">
        <v>0</v>
      </c>
      <c r="L74">
        <v>0</v>
      </c>
      <c r="M74">
        <v>1</v>
      </c>
      <c r="N74">
        <v>1</v>
      </c>
      <c r="O74">
        <v>1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3">
      <c r="A75">
        <v>23</v>
      </c>
      <c r="B75">
        <v>74</v>
      </c>
      <c r="C75" t="s">
        <v>169</v>
      </c>
      <c r="D75" t="s">
        <v>170</v>
      </c>
      <c r="E75">
        <v>0</v>
      </c>
      <c r="F75" t="str">
        <f t="shared" si="1"/>
        <v>No Deal</v>
      </c>
      <c r="G75">
        <v>30</v>
      </c>
      <c r="H75">
        <v>5</v>
      </c>
      <c r="I75">
        <v>600</v>
      </c>
      <c r="J75">
        <v>0</v>
      </c>
      <c r="K75">
        <v>0</v>
      </c>
      <c r="L75">
        <v>0</v>
      </c>
      <c r="M75">
        <v>1</v>
      </c>
      <c r="N75">
        <v>1</v>
      </c>
      <c r="O75">
        <v>1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3">
      <c r="A76">
        <v>23</v>
      </c>
      <c r="B76">
        <v>75</v>
      </c>
      <c r="C76" t="s">
        <v>171</v>
      </c>
      <c r="D76" t="s">
        <v>172</v>
      </c>
      <c r="E76">
        <v>0</v>
      </c>
      <c r="F76" t="str">
        <f t="shared" si="1"/>
        <v>No Deal</v>
      </c>
      <c r="G76">
        <v>75</v>
      </c>
      <c r="H76">
        <v>5</v>
      </c>
      <c r="I76">
        <v>1500</v>
      </c>
      <c r="J76">
        <v>0</v>
      </c>
      <c r="K76">
        <v>0</v>
      </c>
      <c r="L76">
        <v>0</v>
      </c>
      <c r="M76">
        <v>1</v>
      </c>
      <c r="N76">
        <v>1</v>
      </c>
      <c r="O76">
        <v>1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3">
      <c r="A77">
        <v>24</v>
      </c>
      <c r="B77">
        <v>76</v>
      </c>
      <c r="C77" t="s">
        <v>173</v>
      </c>
      <c r="D77" t="s">
        <v>174</v>
      </c>
      <c r="E77">
        <v>1</v>
      </c>
      <c r="F77" t="str">
        <f t="shared" si="1"/>
        <v>Deal</v>
      </c>
      <c r="G77">
        <v>40</v>
      </c>
      <c r="H77">
        <v>8</v>
      </c>
      <c r="I77">
        <v>500</v>
      </c>
      <c r="J77">
        <v>50</v>
      </c>
      <c r="K77">
        <v>35</v>
      </c>
      <c r="L77">
        <v>142.86000000000001</v>
      </c>
      <c r="M77">
        <v>0</v>
      </c>
      <c r="N77">
        <v>1</v>
      </c>
      <c r="O77">
        <v>0</v>
      </c>
      <c r="P77">
        <v>1</v>
      </c>
      <c r="Q77">
        <v>1</v>
      </c>
      <c r="R77">
        <v>1</v>
      </c>
      <c r="S77">
        <v>1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1</v>
      </c>
      <c r="AA77">
        <v>2</v>
      </c>
      <c r="AB77">
        <v>25</v>
      </c>
      <c r="AC77">
        <v>17.5</v>
      </c>
    </row>
    <row r="78" spans="1:29" x14ac:dyDescent="0.3">
      <c r="A78">
        <v>24</v>
      </c>
      <c r="B78">
        <v>77</v>
      </c>
      <c r="C78" t="s">
        <v>175</v>
      </c>
      <c r="D78" t="s">
        <v>176</v>
      </c>
      <c r="E78">
        <v>1</v>
      </c>
      <c r="F78" t="str">
        <f t="shared" si="1"/>
        <v>Deal</v>
      </c>
      <c r="G78">
        <v>30</v>
      </c>
      <c r="H78">
        <v>10</v>
      </c>
      <c r="I78">
        <v>300</v>
      </c>
      <c r="J78">
        <v>10</v>
      </c>
      <c r="K78">
        <v>40</v>
      </c>
      <c r="L78">
        <v>25</v>
      </c>
      <c r="M78">
        <v>0</v>
      </c>
      <c r="N78">
        <v>1</v>
      </c>
      <c r="O78">
        <v>0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1</v>
      </c>
      <c r="AB78">
        <v>10</v>
      </c>
      <c r="AC78">
        <v>40</v>
      </c>
    </row>
    <row r="79" spans="1:29" x14ac:dyDescent="0.3">
      <c r="A79">
        <v>24</v>
      </c>
      <c r="B79">
        <v>78</v>
      </c>
      <c r="C79" t="s">
        <v>177</v>
      </c>
      <c r="D79" t="s">
        <v>178</v>
      </c>
      <c r="E79">
        <v>0</v>
      </c>
      <c r="F79" t="str">
        <f t="shared" si="1"/>
        <v>No Deal</v>
      </c>
      <c r="G79">
        <v>20</v>
      </c>
      <c r="H79">
        <v>10</v>
      </c>
      <c r="I79">
        <v>200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3">
      <c r="A80">
        <v>25</v>
      </c>
      <c r="B80">
        <v>79</v>
      </c>
      <c r="C80" t="s">
        <v>179</v>
      </c>
      <c r="D80" t="s">
        <v>180</v>
      </c>
      <c r="E80">
        <v>1</v>
      </c>
      <c r="F80" t="str">
        <f t="shared" si="1"/>
        <v>Deal</v>
      </c>
      <c r="G80">
        <v>50</v>
      </c>
      <c r="H80">
        <v>4</v>
      </c>
      <c r="I80">
        <v>1250</v>
      </c>
      <c r="J80">
        <v>50</v>
      </c>
      <c r="K80">
        <v>15</v>
      </c>
      <c r="L80">
        <v>333.33</v>
      </c>
      <c r="M80">
        <v>0</v>
      </c>
      <c r="N80">
        <v>1</v>
      </c>
      <c r="O80">
        <v>0</v>
      </c>
      <c r="P80">
        <v>1</v>
      </c>
      <c r="Q80">
        <v>1</v>
      </c>
      <c r="R80">
        <v>1</v>
      </c>
      <c r="S80">
        <v>1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50</v>
      </c>
      <c r="AC80">
        <v>15</v>
      </c>
    </row>
    <row r="81" spans="1:29" x14ac:dyDescent="0.3">
      <c r="A81">
        <v>25</v>
      </c>
      <c r="B81">
        <v>80</v>
      </c>
      <c r="C81" t="s">
        <v>181</v>
      </c>
      <c r="D81" t="s">
        <v>182</v>
      </c>
      <c r="E81">
        <v>1</v>
      </c>
      <c r="F81" t="str">
        <f t="shared" si="1"/>
        <v>Deal</v>
      </c>
      <c r="G81">
        <v>100</v>
      </c>
      <c r="H81">
        <v>2</v>
      </c>
      <c r="I81">
        <v>5000</v>
      </c>
      <c r="J81">
        <v>100</v>
      </c>
      <c r="K81">
        <v>6</v>
      </c>
      <c r="L81">
        <v>1666.67</v>
      </c>
      <c r="M81">
        <v>0</v>
      </c>
      <c r="N81">
        <v>1</v>
      </c>
      <c r="O81">
        <v>0</v>
      </c>
      <c r="P81">
        <v>1</v>
      </c>
      <c r="Q81">
        <v>1</v>
      </c>
      <c r="R81">
        <v>1</v>
      </c>
      <c r="S81">
        <v>1</v>
      </c>
      <c r="T81">
        <v>0</v>
      </c>
      <c r="U81">
        <v>1</v>
      </c>
      <c r="V81">
        <v>0</v>
      </c>
      <c r="W81">
        <v>1</v>
      </c>
      <c r="X81">
        <v>1</v>
      </c>
      <c r="Y81">
        <v>1</v>
      </c>
      <c r="Z81">
        <v>1</v>
      </c>
      <c r="AA81">
        <v>5</v>
      </c>
      <c r="AB81">
        <v>20</v>
      </c>
      <c r="AC81">
        <v>1.2</v>
      </c>
    </row>
    <row r="82" spans="1:29" x14ac:dyDescent="0.3">
      <c r="A82">
        <v>25</v>
      </c>
      <c r="B82">
        <v>81</v>
      </c>
      <c r="C82" t="s">
        <v>183</v>
      </c>
      <c r="D82" t="s">
        <v>184</v>
      </c>
      <c r="E82">
        <v>0</v>
      </c>
      <c r="F82" t="str">
        <f t="shared" si="1"/>
        <v>No Deal</v>
      </c>
      <c r="G82">
        <v>150</v>
      </c>
      <c r="H82">
        <v>2</v>
      </c>
      <c r="I82">
        <v>7500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3">
      <c r="A83">
        <v>26</v>
      </c>
      <c r="B83">
        <v>82</v>
      </c>
      <c r="C83" t="s">
        <v>185</v>
      </c>
      <c r="D83" t="s">
        <v>186</v>
      </c>
      <c r="E83">
        <v>1</v>
      </c>
      <c r="F83" t="str">
        <f t="shared" si="1"/>
        <v>Deal</v>
      </c>
      <c r="G83">
        <v>50</v>
      </c>
      <c r="H83">
        <v>8</v>
      </c>
      <c r="I83">
        <v>625</v>
      </c>
      <c r="J83">
        <v>50</v>
      </c>
      <c r="K83">
        <v>50</v>
      </c>
      <c r="L83">
        <v>100</v>
      </c>
      <c r="M83">
        <v>0</v>
      </c>
      <c r="N83">
        <v>1</v>
      </c>
      <c r="O83">
        <v>0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1</v>
      </c>
      <c r="AB83">
        <v>50</v>
      </c>
      <c r="AC83">
        <v>50</v>
      </c>
    </row>
    <row r="84" spans="1:29" x14ac:dyDescent="0.3">
      <c r="A84">
        <v>26</v>
      </c>
      <c r="B84">
        <v>83</v>
      </c>
      <c r="C84" t="s">
        <v>187</v>
      </c>
      <c r="D84" t="s">
        <v>188</v>
      </c>
      <c r="E84">
        <v>0</v>
      </c>
      <c r="F84" t="str">
        <f t="shared" si="1"/>
        <v>No Deal</v>
      </c>
      <c r="G84">
        <v>50</v>
      </c>
      <c r="H84">
        <v>10</v>
      </c>
      <c r="I84">
        <v>500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3">
      <c r="A85">
        <v>26</v>
      </c>
      <c r="B85">
        <v>84</v>
      </c>
      <c r="C85" t="s">
        <v>189</v>
      </c>
      <c r="D85" t="s">
        <v>190</v>
      </c>
      <c r="E85">
        <v>1</v>
      </c>
      <c r="F85" t="str">
        <f t="shared" si="1"/>
        <v>Deal</v>
      </c>
      <c r="G85">
        <v>65</v>
      </c>
      <c r="H85">
        <v>1</v>
      </c>
      <c r="I85">
        <v>6500</v>
      </c>
      <c r="J85">
        <v>65</v>
      </c>
      <c r="K85">
        <v>3</v>
      </c>
      <c r="L85">
        <v>2166.67</v>
      </c>
      <c r="M85">
        <v>0</v>
      </c>
      <c r="N85">
        <v>1</v>
      </c>
      <c r="O85">
        <v>0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65</v>
      </c>
      <c r="AC85">
        <v>3</v>
      </c>
    </row>
    <row r="86" spans="1:29" x14ac:dyDescent="0.3">
      <c r="A86">
        <v>27</v>
      </c>
      <c r="B86">
        <v>85</v>
      </c>
      <c r="C86" t="s">
        <v>191</v>
      </c>
      <c r="D86" t="s">
        <v>192</v>
      </c>
      <c r="E86">
        <v>0</v>
      </c>
      <c r="F86" t="str">
        <f t="shared" si="1"/>
        <v>No Deal</v>
      </c>
      <c r="G86">
        <v>50</v>
      </c>
      <c r="H86">
        <v>10</v>
      </c>
      <c r="I86">
        <v>500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3">
      <c r="A87">
        <v>27</v>
      </c>
      <c r="B87">
        <v>86</v>
      </c>
      <c r="C87" t="s">
        <v>193</v>
      </c>
      <c r="D87" t="s">
        <v>194</v>
      </c>
      <c r="E87">
        <v>1</v>
      </c>
      <c r="F87" t="str">
        <f t="shared" si="1"/>
        <v>Deal</v>
      </c>
      <c r="G87">
        <v>1.01E-3</v>
      </c>
      <c r="H87">
        <v>10</v>
      </c>
      <c r="I87">
        <v>0.01</v>
      </c>
      <c r="J87">
        <v>1.01E-3</v>
      </c>
      <c r="K87">
        <v>4</v>
      </c>
      <c r="L87">
        <v>0.03</v>
      </c>
      <c r="M87">
        <v>0</v>
      </c>
      <c r="N87">
        <v>1</v>
      </c>
      <c r="O87">
        <v>0</v>
      </c>
      <c r="P87">
        <v>1</v>
      </c>
      <c r="Q87">
        <v>1</v>
      </c>
      <c r="R87">
        <v>1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1</v>
      </c>
      <c r="Z87">
        <v>1</v>
      </c>
      <c r="AA87">
        <v>4</v>
      </c>
      <c r="AB87">
        <v>2.5250000000000001E-4</v>
      </c>
      <c r="AC87">
        <v>1</v>
      </c>
    </row>
    <row r="88" spans="1:29" x14ac:dyDescent="0.3">
      <c r="A88">
        <v>27</v>
      </c>
      <c r="B88">
        <v>87</v>
      </c>
      <c r="C88" t="s">
        <v>195</v>
      </c>
      <c r="D88" t="s">
        <v>196</v>
      </c>
      <c r="E88">
        <v>0</v>
      </c>
      <c r="F88" t="str">
        <f t="shared" si="1"/>
        <v>No Deal</v>
      </c>
      <c r="G88">
        <v>60</v>
      </c>
      <c r="H88">
        <v>5</v>
      </c>
      <c r="I88">
        <v>1200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3">
      <c r="A89">
        <v>27</v>
      </c>
      <c r="B89">
        <v>88</v>
      </c>
      <c r="C89" t="s">
        <v>197</v>
      </c>
      <c r="D89" t="s">
        <v>198</v>
      </c>
      <c r="E89">
        <v>1</v>
      </c>
      <c r="F89" t="str">
        <f t="shared" si="1"/>
        <v>Deal</v>
      </c>
      <c r="G89">
        <v>100</v>
      </c>
      <c r="H89">
        <v>1</v>
      </c>
      <c r="I89">
        <v>10000</v>
      </c>
      <c r="J89">
        <v>100</v>
      </c>
      <c r="K89">
        <v>4</v>
      </c>
      <c r="L89">
        <v>2500</v>
      </c>
      <c r="M89">
        <v>0</v>
      </c>
      <c r="N89">
        <v>1</v>
      </c>
      <c r="O89">
        <v>0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  <c r="AB89">
        <v>100</v>
      </c>
      <c r="AC89">
        <v>4</v>
      </c>
    </row>
    <row r="90" spans="1:29" x14ac:dyDescent="0.3">
      <c r="A90">
        <v>28</v>
      </c>
      <c r="B90">
        <v>89</v>
      </c>
      <c r="C90" t="s">
        <v>199</v>
      </c>
      <c r="D90" t="s">
        <v>200</v>
      </c>
      <c r="E90">
        <v>1</v>
      </c>
      <c r="F90" t="str">
        <f t="shared" si="1"/>
        <v>Deal</v>
      </c>
      <c r="G90">
        <v>75</v>
      </c>
      <c r="H90">
        <v>4</v>
      </c>
      <c r="I90">
        <v>1875</v>
      </c>
      <c r="J90">
        <v>100</v>
      </c>
      <c r="K90">
        <v>15</v>
      </c>
      <c r="L90">
        <v>666.67</v>
      </c>
      <c r="M90">
        <v>0</v>
      </c>
      <c r="N90">
        <v>1</v>
      </c>
      <c r="O90">
        <v>0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1</v>
      </c>
      <c r="Y90">
        <v>1</v>
      </c>
      <c r="Z90">
        <v>1</v>
      </c>
      <c r="AA90">
        <v>3</v>
      </c>
      <c r="AB90">
        <v>33.333333330000002</v>
      </c>
      <c r="AC90">
        <v>5</v>
      </c>
    </row>
    <row r="91" spans="1:29" x14ac:dyDescent="0.3">
      <c r="A91">
        <v>28</v>
      </c>
      <c r="B91">
        <v>90</v>
      </c>
      <c r="C91" t="s">
        <v>201</v>
      </c>
      <c r="D91" t="s">
        <v>202</v>
      </c>
      <c r="E91">
        <v>0</v>
      </c>
      <c r="F91" t="str">
        <f t="shared" si="1"/>
        <v>No Deal</v>
      </c>
      <c r="G91">
        <v>90</v>
      </c>
      <c r="H91">
        <v>5</v>
      </c>
      <c r="I91">
        <v>1800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3">
      <c r="A92">
        <v>28</v>
      </c>
      <c r="B92">
        <v>91</v>
      </c>
      <c r="C92" t="s">
        <v>203</v>
      </c>
      <c r="D92" t="s">
        <v>204</v>
      </c>
      <c r="E92">
        <v>1</v>
      </c>
      <c r="F92" t="str">
        <f t="shared" si="1"/>
        <v>Deal</v>
      </c>
      <c r="G92">
        <v>50</v>
      </c>
      <c r="H92">
        <v>5</v>
      </c>
      <c r="I92">
        <v>1000</v>
      </c>
      <c r="J92">
        <v>50</v>
      </c>
      <c r="K92">
        <v>30</v>
      </c>
      <c r="L92">
        <v>166.67</v>
      </c>
      <c r="M92">
        <v>0</v>
      </c>
      <c r="N92">
        <v>1</v>
      </c>
      <c r="O92">
        <v>0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1</v>
      </c>
      <c r="Z92">
        <v>1</v>
      </c>
      <c r="AA92">
        <v>3</v>
      </c>
      <c r="AB92">
        <v>16.666666670000001</v>
      </c>
      <c r="AC92">
        <v>10</v>
      </c>
    </row>
    <row r="93" spans="1:29" x14ac:dyDescent="0.3">
      <c r="A93">
        <v>29</v>
      </c>
      <c r="B93">
        <v>92</v>
      </c>
      <c r="C93" t="s">
        <v>205</v>
      </c>
      <c r="D93" t="s">
        <v>206</v>
      </c>
      <c r="E93">
        <v>1</v>
      </c>
      <c r="F93" t="str">
        <f t="shared" si="1"/>
        <v>Deal</v>
      </c>
      <c r="G93">
        <v>75</v>
      </c>
      <c r="H93">
        <v>5</v>
      </c>
      <c r="I93">
        <v>1500</v>
      </c>
      <c r="J93">
        <v>75</v>
      </c>
      <c r="K93">
        <v>21</v>
      </c>
      <c r="L93">
        <v>357.14</v>
      </c>
      <c r="M93">
        <v>0</v>
      </c>
      <c r="N93">
        <v>1</v>
      </c>
      <c r="O93">
        <v>0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1</v>
      </c>
      <c r="AA93">
        <v>3</v>
      </c>
      <c r="AB93">
        <v>25</v>
      </c>
      <c r="AC93">
        <v>7</v>
      </c>
    </row>
    <row r="94" spans="1:29" x14ac:dyDescent="0.3">
      <c r="A94">
        <v>29</v>
      </c>
      <c r="B94">
        <v>93</v>
      </c>
      <c r="C94" t="s">
        <v>207</v>
      </c>
      <c r="D94" t="s">
        <v>208</v>
      </c>
      <c r="E94">
        <v>0</v>
      </c>
      <c r="F94" t="str">
        <f t="shared" si="1"/>
        <v>No Deal</v>
      </c>
      <c r="G94">
        <v>75</v>
      </c>
      <c r="H94">
        <v>3</v>
      </c>
      <c r="I94">
        <v>2500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3">
      <c r="A95">
        <v>29</v>
      </c>
      <c r="B95">
        <v>94</v>
      </c>
      <c r="C95" t="s">
        <v>209</v>
      </c>
      <c r="D95" t="s">
        <v>210</v>
      </c>
      <c r="E95">
        <v>0</v>
      </c>
      <c r="F95" t="str">
        <f t="shared" si="1"/>
        <v>No Deal</v>
      </c>
      <c r="G95">
        <v>100</v>
      </c>
      <c r="H95">
        <v>3.5</v>
      </c>
      <c r="I95">
        <v>2857.14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1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3">
      <c r="A96">
        <v>30</v>
      </c>
      <c r="B96">
        <v>95</v>
      </c>
      <c r="C96" t="s">
        <v>211</v>
      </c>
      <c r="D96" t="s">
        <v>212</v>
      </c>
      <c r="E96">
        <v>0</v>
      </c>
      <c r="F96" t="str">
        <f t="shared" si="1"/>
        <v>No Deal</v>
      </c>
      <c r="G96">
        <v>75</v>
      </c>
      <c r="H96">
        <v>15</v>
      </c>
      <c r="I96">
        <v>500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3">
      <c r="A97">
        <v>30</v>
      </c>
      <c r="B97">
        <v>96</v>
      </c>
      <c r="C97" t="s">
        <v>213</v>
      </c>
      <c r="D97" t="s">
        <v>214</v>
      </c>
      <c r="E97">
        <v>1</v>
      </c>
      <c r="F97" t="str">
        <f t="shared" si="1"/>
        <v>Deal</v>
      </c>
      <c r="G97">
        <v>80</v>
      </c>
      <c r="H97">
        <v>1</v>
      </c>
      <c r="I97">
        <v>8000</v>
      </c>
      <c r="J97">
        <v>80</v>
      </c>
      <c r="K97">
        <v>6</v>
      </c>
      <c r="L97">
        <v>1333.33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2</v>
      </c>
      <c r="AB97">
        <v>40</v>
      </c>
      <c r="AC97">
        <v>3</v>
      </c>
    </row>
    <row r="98" spans="1:29" x14ac:dyDescent="0.3">
      <c r="A98">
        <v>30</v>
      </c>
      <c r="B98">
        <v>97</v>
      </c>
      <c r="C98" t="s">
        <v>215</v>
      </c>
      <c r="D98" t="s">
        <v>216</v>
      </c>
      <c r="E98">
        <v>0</v>
      </c>
      <c r="F98" t="str">
        <f t="shared" si="1"/>
        <v>No Deal</v>
      </c>
      <c r="G98">
        <v>300</v>
      </c>
      <c r="H98">
        <v>1</v>
      </c>
      <c r="I98">
        <v>30000</v>
      </c>
      <c r="J98">
        <v>0</v>
      </c>
      <c r="K98">
        <v>0</v>
      </c>
      <c r="L98">
        <v>0</v>
      </c>
      <c r="M98">
        <v>1</v>
      </c>
      <c r="N98">
        <v>1</v>
      </c>
      <c r="O98">
        <v>1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3">
      <c r="A99">
        <v>30</v>
      </c>
      <c r="B99">
        <v>98</v>
      </c>
      <c r="C99" t="s">
        <v>217</v>
      </c>
      <c r="D99" t="s">
        <v>218</v>
      </c>
      <c r="E99">
        <v>0</v>
      </c>
      <c r="F99" t="str">
        <f t="shared" si="1"/>
        <v>No Deal</v>
      </c>
      <c r="G99">
        <v>50</v>
      </c>
      <c r="H99">
        <v>7.5</v>
      </c>
      <c r="I99">
        <v>666.67</v>
      </c>
      <c r="J99">
        <v>0</v>
      </c>
      <c r="K99">
        <v>0</v>
      </c>
      <c r="L99">
        <v>0</v>
      </c>
      <c r="M99">
        <v>1</v>
      </c>
      <c r="N99">
        <v>1</v>
      </c>
      <c r="O99">
        <v>1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3">
      <c r="A100">
        <v>31</v>
      </c>
      <c r="B100">
        <v>99</v>
      </c>
      <c r="C100" t="s">
        <v>219</v>
      </c>
      <c r="D100" t="s">
        <v>220</v>
      </c>
      <c r="E100">
        <v>0</v>
      </c>
      <c r="F100" t="str">
        <f t="shared" si="1"/>
        <v>No Deal</v>
      </c>
      <c r="G100">
        <v>50</v>
      </c>
      <c r="H100">
        <v>10</v>
      </c>
      <c r="I100">
        <v>500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3">
      <c r="A101">
        <v>31</v>
      </c>
      <c r="B101">
        <v>100</v>
      </c>
      <c r="C101" t="s">
        <v>221</v>
      </c>
      <c r="D101" t="s">
        <v>222</v>
      </c>
      <c r="E101">
        <v>0</v>
      </c>
      <c r="F101" t="str">
        <f t="shared" si="1"/>
        <v>No Deal</v>
      </c>
      <c r="G101">
        <v>60</v>
      </c>
      <c r="H101">
        <v>2.5</v>
      </c>
      <c r="I101">
        <v>2400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3">
      <c r="A102">
        <v>31</v>
      </c>
      <c r="B102">
        <v>101</v>
      </c>
      <c r="C102" t="s">
        <v>223</v>
      </c>
      <c r="D102" t="s">
        <v>224</v>
      </c>
      <c r="E102">
        <v>1</v>
      </c>
      <c r="F102" t="str">
        <f t="shared" si="1"/>
        <v>Deal</v>
      </c>
      <c r="G102">
        <v>75</v>
      </c>
      <c r="H102">
        <v>2</v>
      </c>
      <c r="I102">
        <v>3750</v>
      </c>
      <c r="J102">
        <v>75</v>
      </c>
      <c r="K102">
        <v>2.68</v>
      </c>
      <c r="L102">
        <v>2798.51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75</v>
      </c>
      <c r="AC102">
        <v>2.68</v>
      </c>
    </row>
    <row r="103" spans="1:29" x14ac:dyDescent="0.3">
      <c r="A103">
        <v>31</v>
      </c>
      <c r="B103">
        <v>102</v>
      </c>
      <c r="C103" t="s">
        <v>225</v>
      </c>
      <c r="D103" t="s">
        <v>226</v>
      </c>
      <c r="E103">
        <v>0</v>
      </c>
      <c r="F103" t="str">
        <f t="shared" si="1"/>
        <v>No Deal</v>
      </c>
      <c r="G103">
        <v>75</v>
      </c>
      <c r="H103">
        <v>3</v>
      </c>
      <c r="I103">
        <v>2500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3">
      <c r="A104">
        <v>32</v>
      </c>
      <c r="B104">
        <v>103</v>
      </c>
      <c r="C104" t="s">
        <v>227</v>
      </c>
      <c r="D104" t="s">
        <v>228</v>
      </c>
      <c r="E104">
        <v>0</v>
      </c>
      <c r="F104" t="str">
        <f t="shared" si="1"/>
        <v>No Deal</v>
      </c>
      <c r="G104">
        <v>80</v>
      </c>
      <c r="H104">
        <v>7</v>
      </c>
      <c r="I104">
        <v>1142.8599999999999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3">
      <c r="A105">
        <v>32</v>
      </c>
      <c r="B105">
        <v>104</v>
      </c>
      <c r="C105" t="s">
        <v>229</v>
      </c>
      <c r="D105" t="s">
        <v>230</v>
      </c>
      <c r="E105">
        <v>0</v>
      </c>
      <c r="F105" t="str">
        <f t="shared" si="1"/>
        <v>No Deal</v>
      </c>
      <c r="G105">
        <v>200</v>
      </c>
      <c r="H105">
        <v>4</v>
      </c>
      <c r="I105">
        <v>5000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3">
      <c r="A106">
        <v>32</v>
      </c>
      <c r="B106">
        <v>105</v>
      </c>
      <c r="C106" t="s">
        <v>231</v>
      </c>
      <c r="D106" t="s">
        <v>232</v>
      </c>
      <c r="E106">
        <v>1</v>
      </c>
      <c r="F106" t="str">
        <f t="shared" si="1"/>
        <v>Deal</v>
      </c>
      <c r="G106">
        <v>50</v>
      </c>
      <c r="H106">
        <v>1</v>
      </c>
      <c r="I106">
        <v>5000</v>
      </c>
      <c r="J106">
        <v>50</v>
      </c>
      <c r="K106">
        <v>2</v>
      </c>
      <c r="L106">
        <v>2500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50</v>
      </c>
      <c r="AC106">
        <v>2</v>
      </c>
    </row>
    <row r="107" spans="1:29" x14ac:dyDescent="0.3">
      <c r="A107">
        <v>32</v>
      </c>
      <c r="B107">
        <v>106</v>
      </c>
      <c r="C107" t="s">
        <v>233</v>
      </c>
      <c r="D107" t="s">
        <v>234</v>
      </c>
      <c r="E107">
        <v>0</v>
      </c>
      <c r="F107" t="str">
        <f t="shared" si="1"/>
        <v>No Deal</v>
      </c>
      <c r="G107">
        <v>35</v>
      </c>
      <c r="H107">
        <v>6</v>
      </c>
      <c r="I107">
        <v>583.33000000000004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3">
      <c r="A108">
        <v>33</v>
      </c>
      <c r="B108">
        <v>107</v>
      </c>
      <c r="C108" t="s">
        <v>235</v>
      </c>
      <c r="D108" t="s">
        <v>236</v>
      </c>
      <c r="E108">
        <v>1</v>
      </c>
      <c r="F108" t="str">
        <f t="shared" si="1"/>
        <v>Deal</v>
      </c>
      <c r="G108">
        <v>40</v>
      </c>
      <c r="H108">
        <v>10</v>
      </c>
      <c r="I108">
        <v>400</v>
      </c>
      <c r="J108">
        <v>40</v>
      </c>
      <c r="K108">
        <v>25</v>
      </c>
      <c r="L108">
        <v>160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40</v>
      </c>
      <c r="AC108">
        <v>25</v>
      </c>
    </row>
    <row r="109" spans="1:29" x14ac:dyDescent="0.3">
      <c r="A109">
        <v>33</v>
      </c>
      <c r="B109">
        <v>108</v>
      </c>
      <c r="C109" t="s">
        <v>237</v>
      </c>
      <c r="D109" t="s">
        <v>238</v>
      </c>
      <c r="E109">
        <v>0</v>
      </c>
      <c r="F109" t="str">
        <f t="shared" si="1"/>
        <v>No Deal</v>
      </c>
      <c r="G109">
        <v>40</v>
      </c>
      <c r="H109">
        <v>5</v>
      </c>
      <c r="I109">
        <v>800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3">
      <c r="A110">
        <v>33</v>
      </c>
      <c r="B110">
        <v>109</v>
      </c>
      <c r="C110" t="s">
        <v>239</v>
      </c>
      <c r="D110" t="s">
        <v>240</v>
      </c>
      <c r="E110">
        <v>1</v>
      </c>
      <c r="F110" t="str">
        <f t="shared" si="1"/>
        <v>Deal</v>
      </c>
      <c r="G110">
        <v>40</v>
      </c>
      <c r="H110">
        <v>2</v>
      </c>
      <c r="I110">
        <v>2000</v>
      </c>
      <c r="J110">
        <v>60</v>
      </c>
      <c r="K110">
        <v>10</v>
      </c>
      <c r="L110">
        <v>600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3</v>
      </c>
      <c r="AB110">
        <v>20</v>
      </c>
      <c r="AC110">
        <v>3.3333333330000001</v>
      </c>
    </row>
    <row r="111" spans="1:29" x14ac:dyDescent="0.3">
      <c r="A111">
        <v>33</v>
      </c>
      <c r="B111">
        <v>110</v>
      </c>
      <c r="C111" t="s">
        <v>241</v>
      </c>
      <c r="D111" t="s">
        <v>242</v>
      </c>
      <c r="E111">
        <v>1</v>
      </c>
      <c r="F111" t="str">
        <f t="shared" si="1"/>
        <v>Deal</v>
      </c>
      <c r="G111">
        <v>35</v>
      </c>
      <c r="H111">
        <v>1</v>
      </c>
      <c r="I111">
        <v>3500</v>
      </c>
      <c r="J111">
        <v>10</v>
      </c>
      <c r="K111">
        <v>10</v>
      </c>
      <c r="L111">
        <v>100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2</v>
      </c>
      <c r="AB111">
        <v>5</v>
      </c>
      <c r="AC111">
        <v>5</v>
      </c>
    </row>
    <row r="112" spans="1:29" x14ac:dyDescent="0.3">
      <c r="A112">
        <v>34</v>
      </c>
      <c r="B112">
        <v>111</v>
      </c>
      <c r="C112" t="s">
        <v>243</v>
      </c>
      <c r="D112" t="s">
        <v>244</v>
      </c>
      <c r="E112">
        <v>1</v>
      </c>
      <c r="F112" t="str">
        <f t="shared" si="1"/>
        <v>Deal</v>
      </c>
      <c r="G112">
        <v>40</v>
      </c>
      <c r="H112">
        <v>10</v>
      </c>
      <c r="I112">
        <v>400</v>
      </c>
      <c r="J112">
        <v>40</v>
      </c>
      <c r="K112">
        <v>20</v>
      </c>
      <c r="L112">
        <v>200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1</v>
      </c>
      <c r="AA112">
        <v>4</v>
      </c>
      <c r="AB112">
        <v>10</v>
      </c>
      <c r="AC112">
        <v>5</v>
      </c>
    </row>
    <row r="113" spans="1:29" x14ac:dyDescent="0.3">
      <c r="A113">
        <v>34</v>
      </c>
      <c r="B113">
        <v>112</v>
      </c>
      <c r="C113" t="s">
        <v>245</v>
      </c>
      <c r="D113" t="s">
        <v>246</v>
      </c>
      <c r="E113">
        <v>0</v>
      </c>
      <c r="F113" t="str">
        <f t="shared" si="1"/>
        <v>No Deal</v>
      </c>
      <c r="G113">
        <v>30</v>
      </c>
      <c r="H113">
        <v>7.5</v>
      </c>
      <c r="I113">
        <v>400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3">
      <c r="A114">
        <v>34</v>
      </c>
      <c r="B114">
        <v>113</v>
      </c>
      <c r="C114" t="s">
        <v>247</v>
      </c>
      <c r="D114" t="s">
        <v>248</v>
      </c>
      <c r="E114">
        <v>0</v>
      </c>
      <c r="F114" t="str">
        <f t="shared" si="1"/>
        <v>No Deal</v>
      </c>
      <c r="G114">
        <v>60</v>
      </c>
      <c r="H114">
        <v>2</v>
      </c>
      <c r="I114">
        <v>3000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3">
      <c r="A115">
        <v>34</v>
      </c>
      <c r="B115">
        <v>114</v>
      </c>
      <c r="C115" t="s">
        <v>249</v>
      </c>
      <c r="D115" t="s">
        <v>250</v>
      </c>
      <c r="E115">
        <v>0</v>
      </c>
      <c r="F115" t="str">
        <f t="shared" si="1"/>
        <v>No Deal</v>
      </c>
      <c r="G115">
        <v>100</v>
      </c>
      <c r="H115">
        <v>1</v>
      </c>
      <c r="I115">
        <v>10000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3">
      <c r="A116">
        <v>35</v>
      </c>
      <c r="B116">
        <v>115</v>
      </c>
      <c r="C116" t="s">
        <v>251</v>
      </c>
      <c r="D116" t="s">
        <v>252</v>
      </c>
      <c r="E116">
        <v>1</v>
      </c>
      <c r="F116" t="str">
        <f t="shared" si="1"/>
        <v>Deal</v>
      </c>
      <c r="G116">
        <v>40</v>
      </c>
      <c r="H116">
        <v>8</v>
      </c>
      <c r="I116">
        <v>500</v>
      </c>
      <c r="J116">
        <v>40</v>
      </c>
      <c r="K116">
        <v>30</v>
      </c>
      <c r="L116">
        <v>133.33000000000001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4</v>
      </c>
      <c r="AB116">
        <v>10</v>
      </c>
      <c r="AC116">
        <v>7.5</v>
      </c>
    </row>
    <row r="117" spans="1:29" x14ac:dyDescent="0.3">
      <c r="A117">
        <v>35</v>
      </c>
      <c r="B117">
        <v>116</v>
      </c>
      <c r="C117" t="s">
        <v>253</v>
      </c>
      <c r="D117" t="s">
        <v>254</v>
      </c>
      <c r="E117">
        <v>0</v>
      </c>
      <c r="F117" t="str">
        <f t="shared" si="1"/>
        <v>No Deal</v>
      </c>
      <c r="G117">
        <v>50</v>
      </c>
      <c r="H117">
        <v>4</v>
      </c>
      <c r="I117">
        <v>1250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3">
      <c r="A118">
        <v>35</v>
      </c>
      <c r="B118">
        <v>117</v>
      </c>
      <c r="C118" t="s">
        <v>255</v>
      </c>
      <c r="D118" t="s">
        <v>256</v>
      </c>
      <c r="E118">
        <v>0</v>
      </c>
      <c r="F118" t="str">
        <f t="shared" si="1"/>
        <v>No Deal</v>
      </c>
      <c r="G118">
        <v>100</v>
      </c>
      <c r="H118">
        <v>2.5</v>
      </c>
      <c r="I118">
        <v>4000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Shark Tank India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TALLURI POOJITHA</dc:creator>
  <cp:lastModifiedBy>TALLURI POOJITHA</cp:lastModifiedBy>
  <dcterms:created xsi:type="dcterms:W3CDTF">2026-03-24T09:44:07Z</dcterms:created>
  <dcterms:modified xsi:type="dcterms:W3CDTF">2026-03-24T09:44:07Z</dcterms:modified>
</cp:coreProperties>
</file>